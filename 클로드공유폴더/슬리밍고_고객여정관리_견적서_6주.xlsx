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 총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<sst xmlns="http://schemas.openxmlformats.org/spreadsheetml/2006/main" count="203" uniqueCount="171">
  <si>
    <r>
      <rPr>
        <b val="true"/>
        <sz val="16"/>
        <color rgb="FFFFFFFF"/>
        <rFont val="DejaVu Sans"/>
        <family val="2"/>
      </rPr>
      <t xml:space="preserve">슬리밍고 고객여정관리 시스템 — 견적서 </t>
    </r>
    <r>
      <rPr>
        <b val="true"/>
        <sz val="16"/>
        <color rgb="FFFFFFFF"/>
        <rFont val="맑은 고딕"/>
        <family val="0"/>
        <charset val="1"/>
      </rPr>
      <t xml:space="preserve">(6</t>
    </r>
    <r>
      <rPr>
        <b val="true"/>
        <sz val="16"/>
        <color rgb="FFFFFFFF"/>
        <rFont val="DejaVu Sans"/>
        <family val="2"/>
      </rPr>
      <t xml:space="preserve">주</t>
    </r>
    <r>
      <rPr>
        <b val="true"/>
        <sz val="16"/>
        <color rgb="FFFFFFFF"/>
        <rFont val="맑은 고딕"/>
        <family val="0"/>
        <charset val="1"/>
      </rPr>
      <t xml:space="preserve">, 3</t>
    </r>
    <r>
      <rPr>
        <b val="true"/>
        <sz val="16"/>
        <color rgb="FFFFFFFF"/>
        <rFont val="DejaVu Sans"/>
        <family val="2"/>
      </rPr>
      <t xml:space="preserve">명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</si>
  <si>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제안사</t>
    </r>
    <r>
      <rPr>
        <sz val="9"/>
        <color rgb="FF666666"/>
        <rFont val="맑은 고딕"/>
        <family val="0"/>
        <charset val="1"/>
      </rPr>
      <t xml:space="preserve">: (</t>
    </r>
    <r>
      <rPr>
        <sz val="9"/>
        <color rgb="FF666666"/>
        <rFont val="DejaVu Sans"/>
        <family val="2"/>
      </rPr>
      <t xml:space="preserve">주</t>
    </r>
    <r>
      <rPr>
        <sz val="9"/>
        <color rgb="FF666666"/>
        <rFont val="맑은 고딕"/>
        <family val="0"/>
        <charset val="1"/>
      </rPr>
      <t xml:space="preserve">)kitt  |  </t>
    </r>
    <r>
      <rPr>
        <sz val="9"/>
        <color rgb="FF666666"/>
        <rFont val="DejaVu Sans"/>
        <family val="2"/>
      </rPr>
      <t xml:space="preserve">기간</t>
    </r>
    <r>
      <rPr>
        <sz val="9"/>
        <color rgb="FF666666"/>
        <rFont val="맑은 고딕"/>
        <family val="0"/>
        <charset val="1"/>
      </rPr>
      <t xml:space="preserve">: 6</t>
    </r>
    <r>
      <rPr>
        <sz val="9"/>
        <color rgb="FF666666"/>
        <rFont val="DejaVu Sans"/>
        <family val="2"/>
      </rPr>
      <t xml:space="preserve">주  </t>
    </r>
    <r>
      <rPr>
        <sz val="9"/>
        <color rgb="FF666666"/>
        <rFont val="맑은 고딕"/>
        <family val="0"/>
        <charset val="1"/>
      </rPr>
      <t xml:space="preserve">|  </t>
    </r>
    <r>
      <rPr>
        <sz val="9"/>
        <color rgb="FF666666"/>
        <rFont val="DejaVu Sans"/>
        <family val="2"/>
      </rPr>
      <t xml:space="preserve">인원</t>
    </r>
    <r>
      <rPr>
        <sz val="9"/>
        <color rgb="FF666666"/>
        <rFont val="맑은 고딕"/>
        <family val="0"/>
        <charset val="1"/>
      </rPr>
      <t xml:space="preserve">: </t>
    </r>
    <r>
      <rPr>
        <sz val="9"/>
        <color rgb="FF666666"/>
        <rFont val="DejaVu Sans"/>
        <family val="2"/>
      </rPr>
      <t xml:space="preserve">기획</t>
    </r>
    <r>
      <rPr>
        <sz val="9"/>
        <color rgb="FF666666"/>
        <rFont val="맑은 고딕"/>
        <family val="0"/>
        <charset val="1"/>
      </rPr>
      <t xml:space="preserve">1 + </t>
    </r>
    <r>
      <rPr>
        <sz val="9"/>
        <color rgb="FF666666"/>
        <rFont val="DejaVu Sans"/>
        <family val="2"/>
      </rPr>
      <t xml:space="preserve">개발</t>
    </r>
    <r>
      <rPr>
        <sz val="9"/>
        <color rgb="FF666666"/>
        <rFont val="맑은 고딕"/>
        <family val="0"/>
        <charset val="1"/>
      </rPr>
      <t xml:space="preserve">2  |  2026.03.24</t>
    </r>
  </si>
  <si>
    <r>
      <rPr>
        <b val="true"/>
        <sz val="11"/>
        <color rgb="FF1B4332"/>
        <rFont val="DejaVu Sans"/>
        <family val="2"/>
      </rPr>
      <t xml:space="preserve">■ 투입 인력 구성 </t>
    </r>
    <r>
      <rPr>
        <b val="true"/>
        <sz val="11"/>
        <color rgb="FF1B4332"/>
        <rFont val="맑은 고딕"/>
        <family val="0"/>
        <charset val="1"/>
      </rPr>
      <t xml:space="preserve">(6</t>
    </r>
    <r>
      <rPr>
        <b val="true"/>
        <sz val="11"/>
        <color rgb="FF1B4332"/>
        <rFont val="DejaVu Sans"/>
        <family val="2"/>
      </rPr>
      <t xml:space="preserve">주 </t>
    </r>
    <r>
      <rPr>
        <b val="true"/>
        <sz val="11"/>
        <color rgb="FF1B4332"/>
        <rFont val="맑은 고딕"/>
        <family val="0"/>
        <charset val="1"/>
      </rPr>
      <t xml:space="preserve">= </t>
    </r>
    <r>
      <rPr>
        <b val="true"/>
        <sz val="11"/>
        <color rgb="FF1B4332"/>
        <rFont val="DejaVu Sans"/>
        <family val="2"/>
      </rPr>
      <t xml:space="preserve">약 </t>
    </r>
    <r>
      <rPr>
        <b val="true"/>
        <sz val="11"/>
        <color rgb="FF1B4332"/>
        <rFont val="맑은 고딕"/>
        <family val="0"/>
        <charset val="1"/>
      </rPr>
      <t xml:space="preserve">1.4</t>
    </r>
    <r>
      <rPr>
        <b val="true"/>
        <sz val="11"/>
        <color rgb="FF1B4332"/>
        <rFont val="DejaVu Sans"/>
        <family val="2"/>
      </rPr>
      <t xml:space="preserve">개월</t>
    </r>
    <r>
      <rPr>
        <b val="true"/>
        <sz val="11"/>
        <color rgb="FF1B4332"/>
        <rFont val="맑은 고딕"/>
        <family val="0"/>
        <charset val="1"/>
      </rPr>
      <t xml:space="preserve">)</t>
    </r>
  </si>
  <si>
    <t xml:space="preserve">역할</t>
  </si>
  <si>
    <t xml:space="preserve">등급</t>
  </si>
  <si>
    <r>
      <rPr>
        <b val="true"/>
        <sz val="11"/>
        <color rgb="FFFFFFFF"/>
        <rFont val="DejaVu Sans"/>
        <family val="2"/>
      </rPr>
      <t xml:space="preserve">월단가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</si>
  <si>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투입기간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월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</si>
  <si>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인건비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</si>
  <si>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담당 업무</t>
  </si>
  <si>
    <t xml:space="preserve">1</t>
  </si>
  <si>
    <r>
      <rPr>
        <sz val="10"/>
        <rFont val="DejaVu Sans"/>
        <family val="2"/>
      </rPr>
      <t xml:space="preserve">기획</t>
    </r>
    <r>
      <rPr>
        <sz val="10"/>
        <rFont val="맑은 고딕"/>
        <family val="0"/>
        <charset val="1"/>
      </rPr>
      <t xml:space="preserve">/PM</t>
    </r>
  </si>
  <si>
    <t xml:space="preserve">중급</t>
  </si>
  <si>
    <r>
      <rPr>
        <sz val="9"/>
        <color rgb="FF666666"/>
        <rFont val="DejaVu Sans"/>
        <family val="2"/>
      </rPr>
      <t xml:space="preserve">요구분석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화면설계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일정관리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교육</t>
    </r>
  </si>
  <si>
    <t xml:space="preserve">2</t>
  </si>
  <si>
    <r>
      <rPr>
        <sz val="10"/>
        <rFont val="DejaVu Sans"/>
        <family val="2"/>
      </rPr>
      <t xml:space="preserve">풀스택 개발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리드</t>
    </r>
    <r>
      <rPr>
        <sz val="10"/>
        <rFont val="맑은 고딕"/>
        <family val="0"/>
        <charset val="1"/>
      </rPr>
      <t xml:space="preserve">)</t>
    </r>
  </si>
  <si>
    <t xml:space="preserve">고급</t>
  </si>
  <si>
    <r>
      <rPr>
        <sz val="9"/>
        <color rgb="FF666666"/>
        <rFont val="DejaVu Sans"/>
        <family val="2"/>
      </rPr>
      <t xml:space="preserve">백엔드</t>
    </r>
    <r>
      <rPr>
        <sz val="9"/>
        <color rgb="FF666666"/>
        <rFont val="맑은 고딕"/>
        <family val="0"/>
        <charset val="1"/>
      </rPr>
      <t xml:space="preserve">, DB</t>
    </r>
    <r>
      <rPr>
        <sz val="9"/>
        <color rgb="FF666666"/>
        <rFont val="DejaVu Sans"/>
        <family val="2"/>
      </rPr>
      <t xml:space="preserve">설계</t>
    </r>
    <r>
      <rPr>
        <sz val="9"/>
        <color rgb="FF666666"/>
        <rFont val="맑은 고딕"/>
        <family val="0"/>
        <charset val="1"/>
      </rPr>
      <t xml:space="preserve">, API, </t>
    </r>
    <r>
      <rPr>
        <sz val="9"/>
        <color rgb="FF666666"/>
        <rFont val="DejaVu Sans"/>
        <family val="2"/>
      </rPr>
      <t xml:space="preserve">인프라</t>
    </r>
  </si>
  <si>
    <t xml:space="preserve">3</t>
  </si>
  <si>
    <t xml:space="preserve">프론트엔드 개발</t>
  </si>
  <si>
    <r>
      <rPr>
        <sz val="9"/>
        <color rgb="FF666666"/>
        <rFont val="DejaVu Sans"/>
        <family val="2"/>
      </rPr>
      <t xml:space="preserve">화면개발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대시보드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반응형 </t>
    </r>
    <r>
      <rPr>
        <sz val="9"/>
        <color rgb="FF666666"/>
        <rFont val="맑은 고딕"/>
        <family val="0"/>
        <charset val="1"/>
      </rPr>
      <t xml:space="preserve">UI</t>
    </r>
  </si>
  <si>
    <t xml:space="preserve">인건비 소계</t>
  </si>
  <si>
    <r>
      <rPr>
        <sz val="9"/>
        <color rgb="FF666666"/>
        <rFont val="맑은 고딕"/>
        <family val="0"/>
        <charset val="1"/>
      </rPr>
      <t xml:space="preserve">6</t>
    </r>
    <r>
      <rPr>
        <sz val="9"/>
        <color rgb="FF666666"/>
        <rFont val="DejaVu Sans"/>
        <family val="2"/>
      </rPr>
      <t xml:space="preserve">주 기준 총 인건비</t>
    </r>
  </si>
  <si>
    <r>
      <rPr>
        <b val="true"/>
        <sz val="11"/>
        <color rgb="FF1B4332"/>
        <rFont val="DejaVu Sans"/>
        <family val="2"/>
      </rPr>
      <t xml:space="preserve">■ 모듈별 개발 공수 배분 </t>
    </r>
    <r>
      <rPr>
        <b val="true"/>
        <sz val="11"/>
        <color rgb="FF1B4332"/>
        <rFont val="맑은 고딕"/>
        <family val="0"/>
        <charset val="1"/>
      </rPr>
      <t xml:space="preserve">(</t>
    </r>
    <r>
      <rPr>
        <b val="true"/>
        <sz val="11"/>
        <color rgb="FF1B4332"/>
        <rFont val="DejaVu Sans"/>
        <family val="2"/>
      </rPr>
      <t xml:space="preserve">총 </t>
    </r>
    <r>
      <rPr>
        <b val="true"/>
        <sz val="11"/>
        <color rgb="FF1B4332"/>
        <rFont val="맑은 고딕"/>
        <family val="0"/>
        <charset val="1"/>
      </rPr>
      <t xml:space="preserve">34</t>
    </r>
    <r>
      <rPr>
        <b val="true"/>
        <sz val="11"/>
        <color rgb="FF1B4332"/>
        <rFont val="DejaVu Sans"/>
        <family val="2"/>
      </rPr>
      <t xml:space="preserve">개 기능</t>
    </r>
    <r>
      <rPr>
        <b val="true"/>
        <sz val="11"/>
        <color rgb="FF1B4332"/>
        <rFont val="맑은 고딕"/>
        <family val="0"/>
        <charset val="1"/>
      </rPr>
      <t xml:space="preserve">, 6</t>
    </r>
    <r>
      <rPr>
        <b val="true"/>
        <sz val="11"/>
        <color rgb="FF1B4332"/>
        <rFont val="DejaVu Sans"/>
        <family val="2"/>
      </rPr>
      <t xml:space="preserve">주 내 구현</t>
    </r>
    <r>
      <rPr>
        <b val="true"/>
        <sz val="11"/>
        <color rgb="FF1B4332"/>
        <rFont val="맑은 고딕"/>
        <family val="0"/>
        <charset val="1"/>
      </rPr>
      <t xml:space="preserve">)</t>
    </r>
  </si>
  <si>
    <t xml:space="preserve">No</t>
  </si>
  <si>
    <t xml:space="preserve">모듈</t>
  </si>
  <si>
    <t xml:space="preserve">기능 수</t>
  </si>
  <si>
    <r>
      <rPr>
        <b val="true"/>
        <sz val="11"/>
        <color rgb="FFFFFFFF"/>
        <rFont val="DejaVu Sans"/>
        <family val="2"/>
      </rPr>
      <t xml:space="preserve">기획</t>
    </r>
    <r>
      <rPr>
        <b val="true"/>
        <sz val="11"/>
        <color rgb="FFFFFFFF"/>
        <rFont val="맑은 고딕"/>
        <family val="0"/>
        <charset val="1"/>
      </rPr>
      <t xml:space="preserve">(M/M)</t>
    </r>
  </si>
  <si>
    <r>
      <rPr>
        <b val="true"/>
        <sz val="11"/>
        <color rgb="FFFFFFFF"/>
        <rFont val="DejaVu Sans"/>
        <family val="2"/>
      </rPr>
      <t xml:space="preserve">개발</t>
    </r>
    <r>
      <rPr>
        <b val="true"/>
        <sz val="11"/>
        <color rgb="FFFFFFFF"/>
        <rFont val="맑은 고딕"/>
        <family val="0"/>
        <charset val="1"/>
      </rPr>
      <t xml:space="preserve">(M/M)</t>
    </r>
  </si>
  <si>
    <r>
      <rPr>
        <b val="true"/>
        <sz val="11"/>
        <color rgb="FFFFFFFF"/>
        <rFont val="DejaVu Sans"/>
        <family val="2"/>
      </rPr>
      <t xml:space="preserve">소계</t>
    </r>
    <r>
      <rPr>
        <b val="true"/>
        <sz val="11"/>
        <color rgb="FFFFFFFF"/>
        <rFont val="맑은 고딕"/>
        <family val="0"/>
        <charset val="1"/>
      </rPr>
      <t xml:space="preserve">(M/M)</t>
    </r>
  </si>
  <si>
    <t xml:space="preserve">비고</t>
  </si>
  <si>
    <t xml:space="preserve">고객 관리</t>
  </si>
  <si>
    <r>
      <rPr>
        <sz val="9"/>
        <color rgb="FF666666"/>
        <rFont val="DejaVu Sans"/>
        <family val="2"/>
      </rPr>
      <t xml:space="preserve">등록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검색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여정타임라인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끌어오기 등</t>
    </r>
  </si>
  <si>
    <t xml:space="preserve">자세측정 데이터</t>
  </si>
  <si>
    <r>
      <rPr>
        <sz val="9"/>
        <color rgb="FF666666"/>
        <rFont val="DejaVu Sans"/>
        <family val="2"/>
      </rPr>
      <t xml:space="preserve">측정등록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이력</t>
    </r>
    <r>
      <rPr>
        <sz val="9"/>
        <color rgb="FF666666"/>
        <rFont val="맑은 고딕"/>
        <family val="0"/>
        <charset val="1"/>
      </rPr>
      <t xml:space="preserve">/before-after </t>
    </r>
    <r>
      <rPr>
        <sz val="9"/>
        <color rgb="FF666666"/>
        <rFont val="DejaVu Sans"/>
        <family val="2"/>
      </rPr>
      <t xml:space="preserve">비교</t>
    </r>
  </si>
  <si>
    <t xml:space="preserve">프로그램 관리</t>
  </si>
  <si>
    <r>
      <rPr>
        <sz val="9"/>
        <color rgb="FF666666"/>
        <rFont val="DejaVu Sans"/>
        <family val="2"/>
      </rPr>
      <t xml:space="preserve">프로그램 </t>
    </r>
    <r>
      <rPr>
        <sz val="9"/>
        <color rgb="FF666666"/>
        <rFont val="맑은 고딕"/>
        <family val="0"/>
        <charset val="1"/>
      </rPr>
      <t xml:space="preserve">CRUD, </t>
    </r>
    <r>
      <rPr>
        <sz val="9"/>
        <color rgb="FF666666"/>
        <rFont val="DejaVu Sans"/>
        <family val="2"/>
      </rPr>
      <t xml:space="preserve">진행관리</t>
    </r>
  </si>
  <si>
    <t xml:space="preserve">4</t>
  </si>
  <si>
    <t xml:space="preserve">상담 관리</t>
  </si>
  <si>
    <r>
      <rPr>
        <sz val="9"/>
        <color rgb="FF666666"/>
        <rFont val="DejaVu Sans"/>
        <family val="2"/>
      </rPr>
      <t xml:space="preserve">상담기록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이력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템플릿</t>
    </r>
  </si>
  <si>
    <t xml:space="preserve">5</t>
  </si>
  <si>
    <t xml:space="preserve">매출 관리</t>
  </si>
  <si>
    <r>
      <rPr>
        <sz val="9"/>
        <color rgb="FF666666"/>
        <rFont val="DejaVu Sans"/>
        <family val="2"/>
      </rPr>
      <t xml:space="preserve">구매기록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이력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매출현황</t>
    </r>
  </si>
  <si>
    <t xml:space="preserve">6</t>
  </si>
  <si>
    <t xml:space="preserve">본사 대시보드</t>
  </si>
  <si>
    <r>
      <rPr>
        <sz val="9"/>
        <color rgb="FF666666"/>
        <rFont val="DejaVu Sans"/>
        <family val="2"/>
      </rPr>
      <t xml:space="preserve">지점별 통계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전체현황</t>
    </r>
  </si>
  <si>
    <t xml:space="preserve">7</t>
  </si>
  <si>
    <t xml:space="preserve">시스템 관리</t>
  </si>
  <si>
    <r>
      <rPr>
        <sz val="9"/>
        <color rgb="FF666666"/>
        <rFont val="DejaVu Sans"/>
        <family val="2"/>
      </rPr>
      <t xml:space="preserve">계정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권한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지점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백업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로그</t>
    </r>
  </si>
  <si>
    <t xml:space="preserve">8</t>
  </si>
  <si>
    <t xml:space="preserve">공통 모듈</t>
  </si>
  <si>
    <r>
      <rPr>
        <sz val="9"/>
        <color rgb="FF666666"/>
        <rFont val="DejaVu Sans"/>
        <family val="2"/>
      </rPr>
      <t xml:space="preserve">로그인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레이아웃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접근제어 등</t>
    </r>
  </si>
  <si>
    <t xml:space="preserve">9</t>
  </si>
  <si>
    <r>
      <rPr>
        <sz val="10"/>
        <rFont val="맑은 고딕"/>
        <family val="0"/>
        <charset val="1"/>
      </rPr>
      <t xml:space="preserve">DB</t>
    </r>
    <r>
      <rPr>
        <sz val="10"/>
        <rFont val="DejaVu Sans"/>
        <family val="2"/>
      </rPr>
      <t xml:space="preserve">설계 </t>
    </r>
    <r>
      <rPr>
        <sz val="10"/>
        <rFont val="맑은 고딕"/>
        <family val="0"/>
        <charset val="1"/>
      </rPr>
      <t xml:space="preserve">&amp; </t>
    </r>
    <r>
      <rPr>
        <sz val="10"/>
        <rFont val="DejaVu Sans"/>
        <family val="2"/>
      </rPr>
      <t xml:space="preserve">인프라</t>
    </r>
  </si>
  <si>
    <t xml:space="preserve">-</t>
  </si>
  <si>
    <r>
      <rPr>
        <sz val="9"/>
        <color rgb="FF666666"/>
        <rFont val="맑은 고딕"/>
        <family val="0"/>
        <charset val="1"/>
      </rPr>
      <t xml:space="preserve">ERD, </t>
    </r>
    <r>
      <rPr>
        <sz val="9"/>
        <color rgb="FF666666"/>
        <rFont val="DejaVu Sans"/>
        <family val="2"/>
      </rPr>
      <t xml:space="preserve">서버</t>
    </r>
    <r>
      <rPr>
        <sz val="9"/>
        <color rgb="FF666666"/>
        <rFont val="맑은 고딕"/>
        <family val="0"/>
        <charset val="1"/>
      </rPr>
      <t xml:space="preserve">, CI/CD</t>
    </r>
  </si>
  <si>
    <t xml:space="preserve">10</t>
  </si>
  <si>
    <r>
      <rPr>
        <sz val="10"/>
        <rFont val="맑은 고딕"/>
        <family val="0"/>
        <charset val="1"/>
      </rPr>
      <t xml:space="preserve">QA &amp; </t>
    </r>
    <r>
      <rPr>
        <sz val="10"/>
        <rFont val="DejaVu Sans"/>
        <family val="2"/>
      </rPr>
      <t xml:space="preserve">교육</t>
    </r>
  </si>
  <si>
    <r>
      <rPr>
        <sz val="9"/>
        <color rgb="FF666666"/>
        <rFont val="DejaVu Sans"/>
        <family val="2"/>
      </rPr>
      <t xml:space="preserve">통합테스트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매뉴얼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교육</t>
    </r>
  </si>
  <si>
    <t xml:space="preserve">공수 합계</t>
  </si>
  <si>
    <r>
      <rPr>
        <sz val="9"/>
        <color rgb="FF666666"/>
        <rFont val="DejaVu Sans"/>
        <family val="2"/>
      </rPr>
      <t xml:space="preserve">기획</t>
    </r>
    <r>
      <rPr>
        <sz val="9"/>
        <color rgb="FF666666"/>
        <rFont val="맑은 고딕"/>
        <family val="0"/>
        <charset val="1"/>
      </rPr>
      <t xml:space="preserve">1.3 + </t>
    </r>
    <r>
      <rPr>
        <sz val="9"/>
        <color rgb="FF666666"/>
        <rFont val="DejaVu Sans"/>
        <family val="2"/>
      </rPr>
      <t xml:space="preserve">개발</t>
    </r>
    <r>
      <rPr>
        <sz val="9"/>
        <color rgb="FF666666"/>
        <rFont val="맑은 고딕"/>
        <family val="0"/>
        <charset val="1"/>
      </rPr>
      <t xml:space="preserve">3.3 = </t>
    </r>
    <r>
      <rPr>
        <sz val="9"/>
        <color rgb="FF666666"/>
        <rFont val="DejaVu Sans"/>
        <family val="2"/>
      </rPr>
      <t xml:space="preserve">약 </t>
    </r>
    <r>
      <rPr>
        <sz val="9"/>
        <color rgb="FF666666"/>
        <rFont val="맑은 고딕"/>
        <family val="0"/>
        <charset val="1"/>
      </rPr>
      <t xml:space="preserve">4.6 M/M</t>
    </r>
  </si>
  <si>
    <t xml:space="preserve">■ 프로젝트 개발비용</t>
  </si>
  <si>
    <r>
      <rPr>
        <b val="true"/>
        <sz val="10"/>
        <rFont val="DejaVu Sans"/>
        <family val="2"/>
      </rPr>
      <t xml:space="preserve">인건비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기획</t>
    </r>
    <r>
      <rPr>
        <b val="true"/>
        <sz val="10"/>
        <rFont val="맑은 고딕"/>
        <family val="0"/>
        <charset val="1"/>
      </rPr>
      <t xml:space="preserve">1 + </t>
    </r>
    <r>
      <rPr>
        <b val="true"/>
        <sz val="10"/>
        <rFont val="DejaVu Sans"/>
        <family val="2"/>
      </rPr>
      <t xml:space="preserve">개발</t>
    </r>
    <r>
      <rPr>
        <b val="true"/>
        <sz val="10"/>
        <rFont val="맑은 고딕"/>
        <family val="0"/>
        <charset val="1"/>
      </rPr>
      <t xml:space="preserve">2, 6</t>
    </r>
    <r>
      <rPr>
        <b val="true"/>
        <sz val="10"/>
        <rFont val="DejaVu Sans"/>
        <family val="2"/>
      </rPr>
      <t xml:space="preserve">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</si>
  <si>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2025</t>
    </r>
    <r>
      <rPr>
        <sz val="9"/>
        <color rgb="FF666666"/>
        <rFont val="DejaVu Sans"/>
        <family val="2"/>
      </rPr>
      <t xml:space="preserve">년 </t>
    </r>
    <r>
      <rPr>
        <sz val="9"/>
        <color rgb="FF666666"/>
        <rFont val="맑은 고딕"/>
        <family val="0"/>
        <charset val="1"/>
      </rPr>
      <t xml:space="preserve">SW</t>
    </r>
    <r>
      <rPr>
        <sz val="9"/>
        <color rgb="FF666666"/>
        <rFont val="DejaVu Sans"/>
        <family val="2"/>
      </rPr>
      <t xml:space="preserve">기술자 평균임금 기준</t>
    </r>
  </si>
  <si>
    <r>
      <rPr>
        <b val="true"/>
        <sz val="10"/>
        <rFont val="DejaVu Sans"/>
        <family val="2"/>
      </rPr>
      <t xml:space="preserve">개발 환경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도구 라이선스</t>
    </r>
  </si>
  <si>
    <r>
      <rPr>
        <sz val="9"/>
        <color rgb="FF666666"/>
        <rFont val="맑은 고딕"/>
        <family val="0"/>
        <charset val="1"/>
      </rPr>
      <t xml:space="preserve">IDE, </t>
    </r>
    <r>
      <rPr>
        <sz val="9"/>
        <color rgb="FF666666"/>
        <rFont val="DejaVu Sans"/>
        <family val="2"/>
      </rPr>
      <t xml:space="preserve">디자인도구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협업도구 등</t>
    </r>
  </si>
  <si>
    <r>
      <rPr>
        <b val="true"/>
        <sz val="10"/>
        <rFont val="DejaVu Sans"/>
        <family val="2"/>
      </rPr>
      <t xml:space="preserve">초기 서버 구축비 </t>
    </r>
    <r>
      <rPr>
        <b val="true"/>
        <sz val="10"/>
        <rFont val="맑은 고딕"/>
        <family val="0"/>
        <charset val="1"/>
      </rPr>
      <t xml:space="preserve">(1</t>
    </r>
    <r>
      <rPr>
        <b val="true"/>
        <sz val="10"/>
        <rFont val="DejaVu Sans"/>
        <family val="2"/>
      </rPr>
      <t xml:space="preserve">개월분</t>
    </r>
    <r>
      <rPr>
        <b val="true"/>
        <sz val="10"/>
        <rFont val="맑은 고딕"/>
        <family val="0"/>
        <charset val="1"/>
      </rPr>
      <t xml:space="preserve">)</t>
    </r>
  </si>
  <si>
    <t xml:space="preserve">클라우드 초기 셋업</t>
  </si>
  <si>
    <r>
      <rPr>
        <b val="true"/>
        <sz val="12"/>
        <rFont val="DejaVu Sans"/>
        <family val="2"/>
      </rPr>
      <t xml:space="preserve">개발비 소계 </t>
    </r>
    <r>
      <rPr>
        <b val="true"/>
        <sz val="12"/>
        <rFont val="맑은 고딕"/>
        <family val="0"/>
        <charset val="1"/>
      </rPr>
      <t xml:space="preserve">(VAT </t>
    </r>
    <r>
      <rPr>
        <b val="true"/>
        <sz val="12"/>
        <rFont val="DejaVu Sans"/>
        <family val="2"/>
      </rPr>
      <t xml:space="preserve">별도</t>
    </r>
    <r>
      <rPr>
        <b val="true"/>
        <sz val="12"/>
        <rFont val="맑은 고딕"/>
        <family val="0"/>
        <charset val="1"/>
      </rPr>
      <t xml:space="preserve">)</t>
    </r>
  </si>
  <si>
    <t xml:space="preserve">VAT (10%)</t>
  </si>
  <si>
    <r>
      <rPr>
        <b val="true"/>
        <sz val="13"/>
        <color rgb="FFFFFFFF"/>
        <rFont val="DejaVu Sans"/>
        <family val="2"/>
      </rPr>
      <t xml:space="preserve">총 개발비 </t>
    </r>
    <r>
      <rPr>
        <b val="true"/>
        <sz val="13"/>
        <color rgb="FFFFFFFF"/>
        <rFont val="맑은 고딕"/>
        <family val="0"/>
        <charset val="1"/>
      </rPr>
      <t xml:space="preserve">(VAT </t>
    </r>
    <r>
      <rPr>
        <b val="true"/>
        <sz val="13"/>
        <color rgb="FFFFFFFF"/>
        <rFont val="DejaVu Sans"/>
        <family val="2"/>
      </rPr>
      <t xml:space="preserve">포함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</si>
  <si>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1B4332"/>
        <rFont val="DejaVu Sans"/>
        <family val="2"/>
      </rPr>
      <t xml:space="preserve">■ 월 유지보수 비용 </t>
    </r>
    <r>
      <rPr>
        <b val="true"/>
        <sz val="11"/>
        <color rgb="FF1B4332"/>
        <rFont val="맑은 고딕"/>
        <family val="0"/>
        <charset val="1"/>
      </rPr>
      <t xml:space="preserve">(</t>
    </r>
    <r>
      <rPr>
        <b val="true"/>
        <sz val="11"/>
        <color rgb="FF1B4332"/>
        <rFont val="DejaVu Sans"/>
        <family val="2"/>
      </rPr>
      <t xml:space="preserve">서버운영비 </t>
    </r>
    <r>
      <rPr>
        <b val="true"/>
        <sz val="11"/>
        <color rgb="FF1B4332"/>
        <rFont val="맑은 고딕"/>
        <family val="0"/>
        <charset val="1"/>
      </rPr>
      <t xml:space="preserve">+ AI</t>
    </r>
    <r>
      <rPr>
        <b val="true"/>
        <sz val="11"/>
        <color rgb="FF1B4332"/>
        <rFont val="DejaVu Sans"/>
        <family val="2"/>
      </rPr>
      <t xml:space="preserve">모델 사용료 </t>
    </r>
    <r>
      <rPr>
        <b val="true"/>
        <sz val="11"/>
        <color rgb="FF1B4332"/>
        <rFont val="맑은 고딕"/>
        <family val="0"/>
        <charset val="1"/>
      </rPr>
      <t xml:space="preserve">+ </t>
    </r>
    <r>
      <rPr>
        <b val="true"/>
        <sz val="11"/>
        <color rgb="FF1B4332"/>
        <rFont val="DejaVu Sans"/>
        <family val="2"/>
      </rPr>
      <t xml:space="preserve">운영지원</t>
    </r>
    <r>
      <rPr>
        <b val="true"/>
        <sz val="11"/>
        <color rgb="FF1B4332"/>
        <rFont val="맑은 고딕"/>
        <family val="0"/>
        <charset val="1"/>
      </rPr>
      <t xml:space="preserve">)</t>
    </r>
  </si>
  <si>
    <t xml:space="preserve">항목</t>
  </si>
  <si>
    <t xml:space="preserve">세부 내용</t>
  </si>
  <si>
    <r>
      <rPr>
        <b val="true"/>
        <sz val="11"/>
        <color rgb="FFFFFFFF"/>
        <rFont val="DejaVu Sans"/>
        <family val="2"/>
      </rPr>
      <t xml:space="preserve">월 비용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</si>
  <si>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연 비용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</si>
  <si>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비율</t>
  </si>
  <si>
    <r>
      <rPr>
        <b val="true"/>
        <sz val="10"/>
        <color rgb="FF2D6A4F"/>
        <rFont val="맑은 고딕"/>
        <family val="0"/>
        <charset val="1"/>
      </rPr>
      <t xml:space="preserve">[ </t>
    </r>
    <r>
      <rPr>
        <b val="true"/>
        <sz val="10"/>
        <color rgb="FF2D6A4F"/>
        <rFont val="DejaVu Sans"/>
        <family val="2"/>
      </rPr>
      <t xml:space="preserve">서버 운영비 </t>
    </r>
    <r>
      <rPr>
        <b val="true"/>
        <sz val="10"/>
        <color rgb="FF2D6A4F"/>
        <rFont val="맑은 고딕"/>
        <family val="0"/>
        <charset val="1"/>
      </rPr>
      <t xml:space="preserve">]</t>
    </r>
  </si>
  <si>
    <r>
      <rPr>
        <sz val="10"/>
        <rFont val="DejaVu Sans"/>
        <family val="2"/>
      </rPr>
      <t xml:space="preserve">클라우드 서버 </t>
    </r>
    <r>
      <rPr>
        <sz val="10"/>
        <rFont val="맑은 고딕"/>
        <family val="0"/>
        <charset val="1"/>
      </rPr>
      <t xml:space="preserve">(AWS/NCP)</t>
    </r>
  </si>
  <si>
    <r>
      <rPr>
        <sz val="10"/>
        <rFont val="맑은 고딕"/>
        <family val="0"/>
        <charset val="1"/>
      </rPr>
      <t xml:space="preserve">EC2/RDS/S3 </t>
    </r>
    <r>
      <rPr>
        <sz val="10"/>
        <rFont val="DejaVu Sans"/>
        <family val="2"/>
      </rPr>
      <t xml:space="preserve">등 기본 인프라</t>
    </r>
  </si>
  <si>
    <r>
      <rPr>
        <sz val="9"/>
        <color rgb="FF666666"/>
        <rFont val="맑은 고딕"/>
        <family val="0"/>
        <charset val="1"/>
      </rPr>
      <t xml:space="preserve">t3.medium + RDS </t>
    </r>
    <r>
      <rPr>
        <sz val="9"/>
        <color rgb="FF666666"/>
        <rFont val="DejaVu Sans"/>
        <family val="2"/>
      </rPr>
      <t xml:space="preserve">소형</t>
    </r>
  </si>
  <si>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운영 </t>
    </r>
    <r>
      <rPr>
        <sz val="10"/>
        <rFont val="맑은 고딕"/>
        <family val="0"/>
        <charset val="1"/>
      </rPr>
      <t xml:space="preserve">(PostgreSQL)</t>
    </r>
  </si>
  <si>
    <r>
      <rPr>
        <sz val="10"/>
        <rFont val="맑은 고딕"/>
        <family val="0"/>
        <charset val="1"/>
      </rPr>
      <t xml:space="preserve">RDS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0"/>
        <charset val="1"/>
      </rPr>
      <t xml:space="preserve">Supabase</t>
    </r>
  </si>
  <si>
    <t xml:space="preserve">소형 인스턴스</t>
  </si>
  <si>
    <r>
      <rPr>
        <sz val="10"/>
        <rFont val="맑은 고딕"/>
        <family val="0"/>
        <charset val="1"/>
      </rPr>
      <t xml:space="preserve">CDN / </t>
    </r>
    <r>
      <rPr>
        <sz val="10"/>
        <rFont val="DejaVu Sans"/>
        <family val="2"/>
      </rPr>
      <t xml:space="preserve">도메인 </t>
    </r>
    <r>
      <rPr>
        <sz val="10"/>
        <rFont val="맑은 고딕"/>
        <family val="0"/>
        <charset val="1"/>
      </rPr>
      <t xml:space="preserve">/ SSL</t>
    </r>
  </si>
  <si>
    <r>
      <rPr>
        <sz val="10"/>
        <rFont val="DejaVu Sans"/>
        <family val="2"/>
      </rPr>
      <t xml:space="preserve">정적 자원 배포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도메인</t>
    </r>
  </si>
  <si>
    <r>
      <rPr>
        <sz val="9"/>
        <color rgb="FF666666"/>
        <rFont val="맑은 고딕"/>
        <family val="0"/>
        <charset val="1"/>
      </rPr>
      <t xml:space="preserve">CloudFront </t>
    </r>
    <r>
      <rPr>
        <sz val="9"/>
        <color rgb="FF666666"/>
        <rFont val="DejaVu Sans"/>
        <family val="2"/>
      </rPr>
      <t xml:space="preserve">등</t>
    </r>
  </si>
  <si>
    <t xml:space="preserve">백업 스토리지</t>
  </si>
  <si>
    <r>
      <rPr>
        <sz val="10"/>
        <rFont val="맑은 고딕"/>
        <family val="0"/>
        <charset val="1"/>
      </rPr>
      <t xml:space="preserve">S3 </t>
    </r>
    <r>
      <rPr>
        <sz val="10"/>
        <rFont val="DejaVu Sans"/>
        <family val="2"/>
      </rPr>
      <t xml:space="preserve">자동 백업</t>
    </r>
  </si>
  <si>
    <t xml:space="preserve">일일 백업</t>
  </si>
  <si>
    <r>
      <rPr>
        <b val="true"/>
        <sz val="10"/>
        <color rgb="FF2D6A4F"/>
        <rFont val="맑은 고딕"/>
        <family val="0"/>
        <charset val="1"/>
      </rPr>
      <t xml:space="preserve">[ AI </t>
    </r>
    <r>
      <rPr>
        <b val="true"/>
        <sz val="10"/>
        <color rgb="FF2D6A4F"/>
        <rFont val="DejaVu Sans"/>
        <family val="2"/>
      </rPr>
      <t xml:space="preserve">모델 사용료 </t>
    </r>
    <r>
      <rPr>
        <b val="true"/>
        <sz val="10"/>
        <color rgb="FF2D6A4F"/>
        <rFont val="맑은 고딕"/>
        <family val="0"/>
        <charset val="1"/>
      </rPr>
      <t xml:space="preserve">]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</si>
  <si>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리마인더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분석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선택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</si>
  <si>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LLM API </t>
    </r>
    <r>
      <rPr>
        <sz val="10"/>
        <rFont val="DejaVu Sans"/>
        <family val="2"/>
      </rPr>
      <t xml:space="preserve">호출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고객분석 등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</si>
  <si>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사용량 기반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미사용 시 </t>
    </r>
    <r>
      <rPr>
        <sz val="9"/>
        <color rgb="FF666666"/>
        <rFont val="맑은 고딕"/>
        <family val="0"/>
        <charset val="1"/>
      </rPr>
      <t xml:space="preserve">0</t>
    </r>
    <r>
      <rPr>
        <sz val="9"/>
        <color rgb="FF666666"/>
        <rFont val="DejaVu Sans"/>
        <family val="2"/>
      </rPr>
      <t xml:space="preserve">원</t>
    </r>
  </si>
  <si>
    <r>
      <rPr>
        <b val="true"/>
        <sz val="10"/>
        <color rgb="FF2D6A4F"/>
        <rFont val="맑은 고딕"/>
        <family val="0"/>
        <charset val="1"/>
      </rPr>
      <t xml:space="preserve">[ </t>
    </r>
    <r>
      <rPr>
        <b val="true"/>
        <sz val="10"/>
        <color rgb="FF2D6A4F"/>
        <rFont val="DejaVu Sans"/>
        <family val="2"/>
      </rPr>
      <t xml:space="preserve">운영 지원비 </t>
    </r>
    <r>
      <rPr>
        <b val="true"/>
        <sz val="10"/>
        <color rgb="FF2D6A4F"/>
        <rFont val="맑은 고딕"/>
        <family val="0"/>
        <charset val="1"/>
      </rPr>
      <t xml:space="preserve">]</t>
    </r>
  </si>
  <si>
    <t xml:space="preserve">모니터링 및 장애 대응</t>
  </si>
  <si>
    <r>
      <rPr>
        <sz val="10"/>
        <rFont val="DejaVu Sans"/>
        <family val="2"/>
      </rPr>
      <t xml:space="preserve">서버 모니터링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긴급 대응</t>
    </r>
  </si>
  <si>
    <r>
      <rPr>
        <sz val="9"/>
        <color rgb="FF666666"/>
        <rFont val="DejaVu Sans"/>
        <family val="2"/>
      </rPr>
      <t xml:space="preserve">월 </t>
    </r>
    <r>
      <rPr>
        <sz val="9"/>
        <color rgb="FF666666"/>
        <rFont val="맑은 고딕"/>
        <family val="0"/>
        <charset val="1"/>
      </rPr>
      <t xml:space="preserve">4</t>
    </r>
    <r>
      <rPr>
        <sz val="9"/>
        <color rgb="FF666666"/>
        <rFont val="DejaVu Sans"/>
        <family val="2"/>
      </rPr>
      <t xml:space="preserve">시간 이내</t>
    </r>
  </si>
  <si>
    <t xml:space="preserve">소규모 기능 수정</t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</si>
  <si>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수정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버그 수정 등</t>
    </r>
  </si>
  <si>
    <r>
      <rPr>
        <sz val="9"/>
        <color rgb="FF666666"/>
        <rFont val="DejaVu Sans"/>
        <family val="2"/>
      </rPr>
      <t xml:space="preserve">월 </t>
    </r>
    <r>
      <rPr>
        <sz val="9"/>
        <color rgb="FF666666"/>
        <rFont val="맑은 고딕"/>
        <family val="0"/>
        <charset val="1"/>
      </rPr>
      <t xml:space="preserve">8</t>
    </r>
    <r>
      <rPr>
        <sz val="9"/>
        <color rgb="FF666666"/>
        <rFont val="DejaVu Sans"/>
        <family val="2"/>
      </rPr>
      <t xml:space="preserve">시간 이내</t>
    </r>
  </si>
  <si>
    <t xml:space="preserve">데이터 백업 점검</t>
  </si>
  <si>
    <t xml:space="preserve">백업 정상 여부 확인</t>
  </si>
  <si>
    <r>
      <rPr>
        <sz val="9"/>
        <color rgb="FF666666"/>
        <rFont val="DejaVu Sans"/>
        <family val="2"/>
      </rPr>
      <t xml:space="preserve">월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회</t>
    </r>
  </si>
  <si>
    <r>
      <rPr>
        <sz val="10"/>
        <rFont val="DejaVu Sans"/>
        <family val="2"/>
      </rPr>
      <t xml:space="preserve">보안 패치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업데이트</t>
    </r>
  </si>
  <si>
    <r>
      <rPr>
        <sz val="10"/>
        <rFont val="DejaVu Sans"/>
        <family val="2"/>
      </rPr>
      <t xml:space="preserve">서버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의존성 보안 업데이트</t>
    </r>
  </si>
  <si>
    <t xml:space="preserve">필요 시</t>
  </si>
  <si>
    <t xml:space="preserve">월 유지보수 합계</t>
  </si>
  <si>
    <t xml:space="preserve">100%</t>
  </si>
  <si>
    <r>
      <rPr>
        <b val="true"/>
        <sz val="13"/>
        <color rgb="FFFFFFFF"/>
        <rFont val="DejaVu Sans"/>
        <family val="2"/>
      </rPr>
      <t xml:space="preserve">월 유지보수 합계 </t>
    </r>
    <r>
      <rPr>
        <b val="true"/>
        <sz val="13"/>
        <color rgb="FFFFFFFF"/>
        <rFont val="맑은 고딕"/>
        <family val="0"/>
        <charset val="1"/>
      </rPr>
      <t xml:space="preserve">(VAT </t>
    </r>
    <r>
      <rPr>
        <b val="true"/>
        <sz val="13"/>
        <color rgb="FFFFFFFF"/>
        <rFont val="DejaVu Sans"/>
        <family val="2"/>
      </rPr>
      <t xml:space="preserve">포함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</si>
  <si>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t xml:space="preserve">■ 기존 제안 대비 비교</t>
  </si>
  <si>
    <t xml:space="preserve">구분</t>
  </si>
  <si>
    <t xml:space="preserve">기존 제안</t>
  </si>
  <si>
    <r>
      <rPr>
        <b val="true"/>
        <sz val="11"/>
        <color rgb="FFFFFFFF"/>
        <rFont val="DejaVu Sans"/>
        <family val="2"/>
      </rPr>
      <t xml:space="preserve">본 견적</t>
    </r>
    <r>
      <rPr>
        <b val="true"/>
        <sz val="11"/>
        <color rgb="FFFFFFFF"/>
        <rFont val="맑은 고딕"/>
        <family val="0"/>
        <charset val="1"/>
      </rPr>
      <t xml:space="preserve">(6</t>
    </r>
    <r>
      <rPr>
        <b val="true"/>
        <sz val="11"/>
        <color rgb="FFFFFFFF"/>
        <rFont val="DejaVu Sans"/>
        <family val="2"/>
      </rPr>
      <t xml:space="preserve">주</t>
    </r>
    <r>
      <rPr>
        <b val="true"/>
        <sz val="11"/>
        <color rgb="FFFFFFFF"/>
        <rFont val="맑은 고딕"/>
        <family val="0"/>
        <charset val="1"/>
      </rPr>
      <t xml:space="preserve">/3</t>
    </r>
    <r>
      <rPr>
        <b val="true"/>
        <sz val="11"/>
        <color rgb="FFFFFFFF"/>
        <rFont val="DejaVu Sans"/>
        <family val="2"/>
      </rPr>
      <t xml:space="preserve">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</si>
  <si>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절감액</t>
  </si>
  <si>
    <t xml:space="preserve">절감율</t>
  </si>
  <si>
    <r>
      <rPr>
        <sz val="10"/>
        <rFont val="DejaVu Sans"/>
        <family val="2"/>
      </rPr>
      <t xml:space="preserve">개발비 </t>
    </r>
    <r>
      <rPr>
        <sz val="10"/>
        <rFont val="맑은 고딕"/>
        <family val="0"/>
        <charset val="1"/>
      </rPr>
      <t xml:space="preserve">(VAT</t>
    </r>
    <r>
      <rPr>
        <sz val="10"/>
        <rFont val="DejaVu Sans"/>
        <family val="2"/>
      </rPr>
      <t xml:space="preserve">별도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</si>
  <si>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개발비 </t>
    </r>
    <r>
      <rPr>
        <sz val="10"/>
        <rFont val="맑은 고딕"/>
        <family val="0"/>
        <charset val="1"/>
      </rPr>
      <t xml:space="preserve">(VAT</t>
    </r>
    <r>
      <rPr>
        <sz val="10"/>
        <rFont val="DejaVu Sans"/>
        <family val="2"/>
      </rPr>
      <t xml:space="preserve">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</si>
  <si>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월 유지보수 </t>
    </r>
    <r>
      <rPr>
        <sz val="10"/>
        <rFont val="맑은 고딕"/>
        <family val="0"/>
        <charset val="1"/>
      </rPr>
      <t xml:space="preserve">(VAT</t>
    </r>
    <r>
      <rPr>
        <sz val="10"/>
        <rFont val="DejaVu Sans"/>
        <family val="2"/>
      </rPr>
      <t xml:space="preserve">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</si>
  <si>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연 유지보수 </t>
    </r>
    <r>
      <rPr>
        <sz val="10"/>
        <rFont val="맑은 고딕"/>
        <family val="0"/>
        <charset val="1"/>
      </rPr>
      <t xml:space="preserve">(VAT</t>
    </r>
    <r>
      <rPr>
        <sz val="10"/>
        <rFont val="DejaVu Sans"/>
        <family val="2"/>
      </rPr>
      <t xml:space="preserve">포함</t>
    </r>
    <r>
      <rPr>
        <sz val="10"/>
        <rFont val="맑은 고딕"/>
        <family val="0"/>
        <charset val="1"/>
      </rPr>
      <t xml:space="preserve">)</t>
    </r>
  </si>
  <si>
    <t xml:space="preserve">개발기간</t>
  </si>
  <si>
    <r>
      <rPr>
        <sz val="10"/>
        <rFont val="맑은 고딕"/>
        <family val="0"/>
        <charset val="1"/>
      </rPr>
      <t xml:space="preserve">12</t>
    </r>
    <r>
      <rPr>
        <sz val="10"/>
        <rFont val="DejaVu Sans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</si>
  <si>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</si>
  <si>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주 단축</t>
    </r>
  </si>
  <si>
    <t xml:space="preserve">50%</t>
  </si>
  <si>
    <t xml:space="preserve">투입인원</t>
  </si>
  <si>
    <t xml:space="preserve">미명시</t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</si>
  <si>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명</t>
    </r>
  </si>
  <si>
    <t xml:space="preserve">■ 대금 지급 조건</t>
  </si>
  <si>
    <t xml:space="preserve">시점</t>
  </si>
  <si>
    <r>
      <rPr>
        <b val="true"/>
        <sz val="11"/>
        <color rgb="FFFFFFFF"/>
        <rFont val="DejaVu Sans"/>
        <family val="2"/>
      </rPr>
      <t xml:space="preserve">금액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,VAT</t>
    </r>
    <r>
      <rPr>
        <b val="true"/>
        <sz val="11"/>
        <color rgb="FFFFFFFF"/>
        <rFont val="DejaVu Sans"/>
        <family val="2"/>
      </rPr>
      <t xml:space="preserve">별도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</si>
  <si>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계약 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선금</t>
    </r>
    <r>
      <rPr>
        <sz val="10"/>
        <rFont val="맑은 고딕"/>
        <family val="0"/>
        <charset val="1"/>
      </rPr>
      <t xml:space="preserve">)</t>
    </r>
  </si>
  <si>
    <t xml:space="preserve">착수 시</t>
  </si>
  <si>
    <r>
      <rPr>
        <sz val="10"/>
        <rFont val="DejaVu Sans"/>
        <family val="2"/>
      </rPr>
      <t xml:space="preserve">오픈 완료 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잔금</t>
    </r>
    <r>
      <rPr>
        <sz val="10"/>
        <rFont val="맑은 고딕"/>
        <family val="0"/>
        <charset val="1"/>
      </rPr>
      <t xml:space="preserve">)</t>
    </r>
  </si>
  <si>
    <t xml:space="preserve">검수 후</t>
  </si>
  <si>
    <t xml:space="preserve">합계</t>
  </si>
  <si>
    <r>
      <rPr>
        <b val="true"/>
        <sz val="11"/>
        <color rgb="FF1B4332"/>
        <rFont val="맑은 고딕"/>
        <family val="0"/>
        <charset val="1"/>
      </rPr>
      <t xml:space="preserve">■ 6</t>
    </r>
    <r>
      <rPr>
        <b val="true"/>
        <sz val="11"/>
        <color rgb="FF1B4332"/>
        <rFont val="DejaVu Sans"/>
        <family val="2"/>
      </rPr>
      <t xml:space="preserve">주 개발 일정</t>
    </r>
  </si>
  <si>
    <t xml:space="preserve">주차</t>
  </si>
  <si>
    <t xml:space="preserve">기획</t>
  </si>
  <si>
    <t xml:space="preserve">개발</t>
  </si>
  <si>
    <t xml:space="preserve">산출물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</si>
  <si>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주차</t>
    </r>
  </si>
  <si>
    <r>
      <rPr>
        <sz val="10"/>
        <rFont val="DejaVu Sans"/>
        <family val="2"/>
      </rPr>
      <t xml:space="preserve">요구분석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화면설계</t>
    </r>
  </si>
  <si>
    <r>
      <rPr>
        <sz val="10"/>
        <rFont val="맑은 고딕"/>
        <family val="0"/>
        <charset val="1"/>
      </rPr>
      <t xml:space="preserve">DB</t>
    </r>
    <r>
      <rPr>
        <sz val="10"/>
        <rFont val="DejaVu Sans"/>
        <family val="2"/>
      </rPr>
      <t xml:space="preserve">설계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개발환경 구축</t>
    </r>
  </si>
  <si>
    <r>
      <rPr>
        <sz val="9"/>
        <color rgb="FF666666"/>
        <rFont val="맑은 고딕"/>
        <family val="0"/>
        <charset val="1"/>
      </rPr>
      <t xml:space="preserve">ERD, </t>
    </r>
    <r>
      <rPr>
        <sz val="9"/>
        <color rgb="FF666666"/>
        <rFont val="DejaVu Sans"/>
        <family val="2"/>
      </rPr>
      <t xml:space="preserve">와이어프레임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</si>
  <si>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주차</t>
    </r>
  </si>
  <si>
    <r>
      <rPr>
        <sz val="10"/>
        <rFont val="DejaVu Sans"/>
        <family val="2"/>
      </rPr>
      <t xml:space="preserve">화면 확정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데이터 정의</t>
    </r>
  </si>
  <si>
    <r>
      <rPr>
        <sz val="10"/>
        <rFont val="DejaVu Sans"/>
        <family val="2"/>
      </rPr>
      <t xml:space="preserve">고객관리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공통모듈 개발</t>
    </r>
  </si>
  <si>
    <r>
      <rPr>
        <sz val="9"/>
        <color rgb="FF666666"/>
        <rFont val="DejaVu Sans"/>
        <family val="2"/>
      </rPr>
      <t xml:space="preserve">고객등록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검색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여정 </t>
    </r>
    <r>
      <rPr>
        <sz val="9"/>
        <color rgb="FF666666"/>
        <rFont val="맑은 고딕"/>
        <family val="0"/>
        <charset val="1"/>
      </rPr>
      <t xml:space="preserve">API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</si>
  <si>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주차</t>
    </r>
  </si>
  <si>
    <r>
      <rPr>
        <sz val="10"/>
        <rFont val="맑은 고딕"/>
        <family val="0"/>
        <charset val="1"/>
      </rPr>
      <t xml:space="preserve">QA </t>
    </r>
    <r>
      <rPr>
        <sz val="10"/>
        <rFont val="DejaVu Sans"/>
        <family val="2"/>
      </rPr>
      <t xml:space="preserve">시작</t>
    </r>
  </si>
  <si>
    <r>
      <rPr>
        <sz val="10"/>
        <rFont val="DejaVu Sans"/>
        <family val="2"/>
      </rPr>
      <t xml:space="preserve">측정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프로그램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상담 개발</t>
    </r>
  </si>
  <si>
    <r>
      <rPr>
        <sz val="9"/>
        <color rgb="FF666666"/>
        <rFont val="DejaVu Sans"/>
        <family val="2"/>
      </rPr>
      <t xml:space="preserve">측정</t>
    </r>
    <r>
      <rPr>
        <sz val="9"/>
        <color rgb="FF666666"/>
        <rFont val="맑은 고딕"/>
        <family val="0"/>
        <charset val="1"/>
      </rPr>
      <t xml:space="preserve">before-after, </t>
    </r>
    <r>
      <rPr>
        <sz val="9"/>
        <color rgb="FF666666"/>
        <rFont val="DejaVu Sans"/>
        <family val="2"/>
      </rPr>
      <t xml:space="preserve">프로그램관리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</si>
  <si>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주차</t>
    </r>
  </si>
  <si>
    <r>
      <rPr>
        <sz val="10"/>
        <rFont val="맑은 고딕"/>
        <family val="0"/>
        <charset val="1"/>
      </rPr>
      <t xml:space="preserve">QA </t>
    </r>
    <r>
      <rPr>
        <sz val="10"/>
        <rFont val="DejaVu Sans"/>
        <family val="2"/>
      </rPr>
      <t xml:space="preserve">진행</t>
    </r>
  </si>
  <si>
    <r>
      <rPr>
        <sz val="10"/>
        <rFont val="DejaVu Sans"/>
        <family val="2"/>
      </rPr>
      <t xml:space="preserve">매출관리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대시보드 개발</t>
    </r>
  </si>
  <si>
    <r>
      <rPr>
        <sz val="9"/>
        <color rgb="FF666666"/>
        <rFont val="DejaVu Sans"/>
        <family val="2"/>
      </rPr>
      <t xml:space="preserve">매출현황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지점별 통계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</si>
  <si>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주차</t>
    </r>
  </si>
  <si>
    <t xml:space="preserve">매뉴얼 작성</t>
  </si>
  <si>
    <r>
      <rPr>
        <sz val="10"/>
        <rFont val="DejaVu Sans"/>
        <family val="2"/>
      </rPr>
      <t xml:space="preserve">시스템관리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통합테스트</t>
    </r>
  </si>
  <si>
    <r>
      <rPr>
        <sz val="9"/>
        <color rgb="FF666666"/>
        <rFont val="DejaVu Sans"/>
        <family val="2"/>
      </rPr>
      <t xml:space="preserve">권한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백업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버그수정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</si>
  <si>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주차</t>
    </r>
  </si>
  <si>
    <t xml:space="preserve">교육 진행</t>
  </si>
  <si>
    <r>
      <rPr>
        <sz val="10"/>
        <rFont val="DejaVu Sans"/>
        <family val="2"/>
      </rPr>
      <t xml:space="preserve">배포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안정화</t>
    </r>
  </si>
  <si>
    <r>
      <rPr>
        <sz val="9"/>
        <color rgb="FF666666"/>
        <rFont val="DejaVu Sans"/>
        <family val="2"/>
      </rPr>
      <t xml:space="preserve">운영 배포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관리자 교육</t>
    </r>
  </si>
  <si>
    <t xml:space="preserve">※ 참고사항</t>
  </si>
  <si>
    <r>
      <rPr>
        <sz val="9"/>
        <color rgb="FF666666"/>
        <rFont val="DejaVu Sans"/>
        <family val="2"/>
      </rPr>
      <t xml:space="preserve">• 인건비는 </t>
    </r>
    <r>
      <rPr>
        <sz val="9"/>
        <color rgb="FF666666"/>
        <rFont val="맑은 고딕"/>
        <family val="0"/>
        <charset val="1"/>
      </rPr>
      <t xml:space="preserve">2025</t>
    </r>
    <r>
      <rPr>
        <sz val="9"/>
        <color rgb="FF666666"/>
        <rFont val="DejaVu Sans"/>
        <family val="2"/>
      </rPr>
      <t xml:space="preserve">년 한국소프트웨어산업협회 </t>
    </r>
    <r>
      <rPr>
        <sz val="9"/>
        <color rgb="FF666666"/>
        <rFont val="맑은 고딕"/>
        <family val="0"/>
        <charset val="1"/>
      </rPr>
      <t xml:space="preserve">SW</t>
    </r>
    <r>
      <rPr>
        <sz val="9"/>
        <color rgb="FF666666"/>
        <rFont val="DejaVu Sans"/>
        <family val="2"/>
      </rPr>
      <t xml:space="preserve">기술자 평균임금 기준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고급 </t>
    </r>
    <r>
      <rPr>
        <sz val="9"/>
        <color rgb="FF666666"/>
        <rFont val="맑은 고딕"/>
        <family val="0"/>
        <charset val="1"/>
      </rPr>
      <t xml:space="preserve">540</t>
    </r>
    <r>
      <rPr>
        <sz val="9"/>
        <color rgb="FF666666"/>
        <rFont val="DejaVu Sans"/>
        <family val="2"/>
      </rPr>
      <t xml:space="preserve">만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월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중급 </t>
    </r>
    <r>
      <rPr>
        <sz val="9"/>
        <color rgb="FF666666"/>
        <rFont val="맑은 고딕"/>
        <family val="0"/>
        <charset val="1"/>
      </rPr>
      <t xml:space="preserve">430</t>
    </r>
    <r>
      <rPr>
        <sz val="9"/>
        <color rgb="FF666666"/>
        <rFont val="DejaVu Sans"/>
        <family val="2"/>
      </rPr>
      <t xml:space="preserve">만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월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</si>
  <si>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• 6</t>
    </r>
    <r>
      <rPr>
        <sz val="9"/>
        <color rgb="FF666666"/>
        <rFont val="DejaVu Sans"/>
        <family val="2"/>
      </rPr>
      <t xml:space="preserve">주 </t>
    </r>
    <r>
      <rPr>
        <sz val="9"/>
        <color rgb="FF666666"/>
        <rFont val="맑은 고딕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약 </t>
    </r>
    <r>
      <rPr>
        <sz val="9"/>
        <color rgb="FF666666"/>
        <rFont val="맑은 고딕"/>
        <family val="0"/>
        <charset val="1"/>
      </rPr>
      <t xml:space="preserve">1.4</t>
    </r>
    <r>
      <rPr>
        <sz val="9"/>
        <color rgb="FF666666"/>
        <rFont val="DejaVu Sans"/>
        <family val="2"/>
      </rPr>
      <t xml:space="preserve">개월 기준</t>
    </r>
    <r>
      <rPr>
        <sz val="9"/>
        <color rgb="FF666666"/>
        <rFont val="맑은 고딕"/>
        <family val="0"/>
        <charset val="1"/>
      </rPr>
      <t xml:space="preserve">, 3</t>
    </r>
    <r>
      <rPr>
        <sz val="9"/>
        <color rgb="FF666666"/>
        <rFont val="DejaVu Sans"/>
        <family val="2"/>
      </rPr>
      <t xml:space="preserve">인 투입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기획 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명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개발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명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</si>
  <si>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• 서버운영비는 </t>
    </r>
    <r>
      <rPr>
        <sz val="9"/>
        <color rgb="FF666666"/>
        <rFont val="맑은 고딕"/>
        <family val="0"/>
        <charset val="1"/>
      </rPr>
      <t xml:space="preserve">NCP(</t>
    </r>
    <r>
      <rPr>
        <sz val="9"/>
        <color rgb="FF666666"/>
        <rFont val="DejaVu Sans"/>
        <family val="2"/>
      </rPr>
      <t xml:space="preserve">네이버클라우드</t>
    </r>
    <r>
      <rPr>
        <sz val="9"/>
        <color rgb="FF666666"/>
        <rFont val="맑은 고딕"/>
        <family val="0"/>
        <charset val="1"/>
      </rPr>
      <t xml:space="preserve">) </t>
    </r>
    <r>
      <rPr>
        <sz val="9"/>
        <color rgb="FF666666"/>
        <rFont val="DejaVu Sans"/>
        <family val="2"/>
      </rPr>
      <t xml:space="preserve">또는 </t>
    </r>
    <r>
      <rPr>
        <sz val="9"/>
        <color rgb="FF666666"/>
        <rFont val="맑은 고딕"/>
        <family val="0"/>
        <charset val="1"/>
      </rPr>
      <t xml:space="preserve">AWS </t>
    </r>
    <r>
      <rPr>
        <sz val="9"/>
        <color rgb="FF666666"/>
        <rFont val="DejaVu Sans"/>
        <family val="2"/>
      </rPr>
      <t xml:space="preserve">기준이며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트래픽에 따라 변동 가능</t>
    </r>
  </si>
  <si>
    <r>
      <rPr>
        <sz val="9"/>
        <color rgb="FF666666"/>
        <rFont val="맑은 고딕"/>
        <family val="0"/>
        <charset val="1"/>
      </rPr>
      <t xml:space="preserve">• AI </t>
    </r>
    <r>
      <rPr>
        <sz val="9"/>
        <color rgb="FF666666"/>
        <rFont val="DejaVu Sans"/>
        <family val="2"/>
      </rPr>
      <t xml:space="preserve">모델 사용료는 고객분석</t>
    </r>
    <r>
      <rPr>
        <sz val="9"/>
        <color rgb="FF666666"/>
        <rFont val="맑은 고딕"/>
        <family val="0"/>
        <charset val="1"/>
      </rPr>
      <t xml:space="preserve">/</t>
    </r>
    <r>
      <rPr>
        <sz val="9"/>
        <color rgb="FF666666"/>
        <rFont val="DejaVu Sans"/>
        <family val="2"/>
      </rPr>
      <t xml:space="preserve">리마인더에 </t>
    </r>
    <r>
      <rPr>
        <sz val="9"/>
        <color rgb="FF666666"/>
        <rFont val="맑은 고딕"/>
        <family val="0"/>
        <charset val="1"/>
      </rPr>
      <t xml:space="preserve">LLM </t>
    </r>
    <r>
      <rPr>
        <sz val="9"/>
        <color rgb="FF666666"/>
        <rFont val="DejaVu Sans"/>
        <family val="2"/>
      </rPr>
      <t xml:space="preserve">활용 시 발생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미사용 시 월 </t>
    </r>
    <r>
      <rPr>
        <sz val="9"/>
        <color rgb="FF666666"/>
        <rFont val="맑은 고딕"/>
        <family val="0"/>
        <charset val="1"/>
      </rPr>
      <t xml:space="preserve">0</t>
    </r>
    <r>
      <rPr>
        <sz val="9"/>
        <color rgb="FF666666"/>
        <rFont val="DejaVu Sans"/>
        <family val="2"/>
      </rPr>
      <t xml:space="preserve">원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</si>
  <si>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• 하자보수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개월 무상 포함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이후부터 유지보수 계약 별도</t>
    </r>
  </si>
  <si>
    <r>
      <rPr>
        <sz val="9"/>
        <color rgb="FF666666"/>
        <rFont val="DejaVu Sans"/>
        <family val="2"/>
      </rPr>
      <t xml:space="preserve">• 기존 고객 데이터 일괄 이관은 범위에 미포함 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별도 협의</t>
    </r>
    <r>
      <rPr>
        <sz val="9"/>
        <color rgb="FF666666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</si>
</sst>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맑은 고딕"/>
      <family val="0"/>
      <charset val="1"/>
    </font>
    <font>
      <sz val="9"/>
      <color rgb="FF666666"/>
      <name val="DejaVu Sans"/>
      <family val="2"/>
    </font>
    <font>
      <sz val="9"/>
      <color rgb="FF666666"/>
      <name val="맑은 고딕"/>
      <family val="0"/>
      <charset val="1"/>
    </font>
    <font>
      <b val="true"/>
      <sz val="11"/>
      <color rgb="FF1B4332"/>
      <name val="DejaVu Sans"/>
      <family val="2"/>
    </font>
    <font>
      <b val="true"/>
      <sz val="11"/>
      <color rgb="FF1B4332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sz val="10"/>
      <color rgb="FF0000FF"/>
      <name val="맑은 고딕"/>
      <family val="0"/>
      <charset val="1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  <font>
      <b val="true"/>
      <sz val="12"/>
      <name val="DejaVu Sans"/>
      <family val="2"/>
    </font>
    <font>
      <b val="true"/>
      <sz val="12"/>
      <name val="맑은 고딕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10"/>
      <color rgb="FF2D6A4F"/>
      <name val="맑은 고딕"/>
      <family val="0"/>
      <charset val="1"/>
    </font>
    <font>
      <b val="true"/>
      <sz val="10"/>
      <color rgb="FF2D6A4F"/>
      <name val="DejaVu Sans"/>
      <family val="2"/>
    </font>
    <font>
      <b val="true"/>
      <sz val="10"/>
      <color rgb="FFFF000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6A4F"/>
        <bgColor rgb="FF666666"/>
      </patternFill>
    </fill>
    <fill>
      <patternFill patternType="solid">
        <fgColor rgb="FFE8F5EE"/>
        <bgColor rgb="FFF0FAF4"/>
      </patternFill>
    </fill>
    <fill>
      <patternFill patternType="solid">
        <fgColor rgb="FF40916C"/>
        <bgColor rgb="FF2D6A4F"/>
      </patternFill>
    </fill>
    <fill>
      <patternFill patternType="solid">
        <fgColor rgb="FFF0FAF4"/>
        <bgColor rgb="FFE8F5EE"/>
      </patternFill>
    </fill>
    <fill>
      <patternFill patternType="solid">
        <fgColor rgb="FFFFF3CD"/>
        <bgColor rgb="FFF0FA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E8DF"/>
      </left>
      <right/>
      <top style="thin">
        <color rgb="FFD8E8DF"/>
      </top>
      <bottom style="thin">
        <color rgb="FFD8E8DF"/>
      </bottom>
      <diagonal/>
    </border>
    <border diagonalUp="false" diagonalDown="false">
      <left style="thin">
        <color rgb="FFD8E8DF"/>
      </left>
      <right style="thin">
        <color rgb="FFD8E8DF"/>
      </right>
      <top style="thin">
        <color rgb="FFD8E8DF"/>
      </top>
      <bottom style="thin">
        <color rgb="FFD8E8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FF3CD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AF4"/>
      <rgbColor rgb="FFD8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0916C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24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4.9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customFormat="false" ht="15" hidden="false" customHeight="false" outlineLevel="0" collapsed="false">
      <c r="A6" s="6" t="s">
        <v>9</v>
      </c>
      <c r="B6" s="7" t="s">
        <v>10</v>
      </c>
      <c r="C6" s="8" t="s">
        <v>11</v>
      </c>
      <c r="D6" s="9" t="n">
        <v>430</v>
      </c>
      <c r="E6" s="10" t="n">
        <v>1.4</v>
      </c>
      <c r="F6" s="11" t="n">
        <f aca="false">D6*E6</f>
        <v>602</v>
      </c>
      <c r="G6" s="12" t="s">
        <v>12</v>
      </c>
    </row>
    <row r="7" customFormat="false" ht="15" hidden="false" customHeight="false" outlineLevel="0" collapsed="false">
      <c r="A7" s="6" t="s">
        <v>13</v>
      </c>
      <c r="B7" s="7" t="s">
        <v>14</v>
      </c>
      <c r="C7" s="8" t="s">
        <v>15</v>
      </c>
      <c r="D7" s="9" t="n">
        <v>540</v>
      </c>
      <c r="E7" s="10" t="n">
        <v>1.4</v>
      </c>
      <c r="F7" s="11" t="n">
        <f aca="false">D7*E7</f>
        <v>756</v>
      </c>
      <c r="G7" s="12" t="s">
        <v>16</v>
      </c>
    </row>
    <row r="8" customFormat="false" ht="15" hidden="false" customHeight="false" outlineLevel="0" collapsed="false">
      <c r="A8" s="6" t="s">
        <v>17</v>
      </c>
      <c r="B8" s="7" t="s">
        <v>18</v>
      </c>
      <c r="C8" s="8" t="s">
        <v>11</v>
      </c>
      <c r="D8" s="9" t="n">
        <v>430</v>
      </c>
      <c r="E8" s="10" t="n">
        <v>1.4</v>
      </c>
      <c r="F8" s="11" t="n">
        <f aca="false">D8*E8</f>
        <v>602</v>
      </c>
      <c r="G8" s="12" t="s">
        <v>19</v>
      </c>
    </row>
    <row r="9" customFormat="false" ht="15" hidden="false" customHeight="false" outlineLevel="0" collapsed="false">
      <c r="A9" s="13" t="s">
        <v>20</v>
      </c>
      <c r="B9" s="13"/>
      <c r="C9" s="13"/>
      <c r="D9" s="13"/>
      <c r="E9" s="13"/>
      <c r="F9" s="14" t="n">
        <f aca="false">SUM(F6:F8)</f>
        <v>1960</v>
      </c>
      <c r="G9" s="15" t="s">
        <v>21</v>
      </c>
    </row>
    <row r="11" customFormat="false" ht="14.9" hidden="false" customHeight="false" outlineLevel="0" collapsed="false">
      <c r="A11" s="3" t="s">
        <v>22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4" t="s">
        <v>23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  <c r="G12" s="5" t="s">
        <v>29</v>
      </c>
    </row>
    <row r="13" customFormat="false" ht="15" hidden="false" customHeight="false" outlineLevel="0" collapsed="false">
      <c r="A13" s="6" t="s">
        <v>9</v>
      </c>
      <c r="B13" s="7" t="s">
        <v>30</v>
      </c>
      <c r="C13" s="6" t="n">
        <v>9</v>
      </c>
      <c r="D13" s="10" t="n">
        <v>0.3</v>
      </c>
      <c r="E13" s="10" t="n">
        <v>0.8</v>
      </c>
      <c r="F13" s="16" t="n">
        <f aca="false">D13+E13</f>
        <v>1.1</v>
      </c>
      <c r="G13" s="12" t="s">
        <v>31</v>
      </c>
    </row>
    <row r="14" customFormat="false" ht="15" hidden="false" customHeight="false" outlineLevel="0" collapsed="false">
      <c r="A14" s="6" t="s">
        <v>13</v>
      </c>
      <c r="B14" s="7" t="s">
        <v>32</v>
      </c>
      <c r="C14" s="6" t="n">
        <v>3</v>
      </c>
      <c r="D14" s="10" t="n">
        <v>0.1</v>
      </c>
      <c r="E14" s="10" t="n">
        <v>0.3</v>
      </c>
      <c r="F14" s="16" t="n">
        <f aca="false">D14+E14</f>
        <v>0.4</v>
      </c>
      <c r="G14" s="12" t="s">
        <v>33</v>
      </c>
    </row>
    <row r="15" customFormat="false" ht="15" hidden="false" customHeight="false" outlineLevel="0" collapsed="false">
      <c r="A15" s="6" t="s">
        <v>17</v>
      </c>
      <c r="B15" s="7" t="s">
        <v>34</v>
      </c>
      <c r="C15" s="6" t="n">
        <v>3</v>
      </c>
      <c r="D15" s="10" t="n">
        <v>0.1</v>
      </c>
      <c r="E15" s="10" t="n">
        <v>0.3</v>
      </c>
      <c r="F15" s="16" t="n">
        <f aca="false">D15+E15</f>
        <v>0.4</v>
      </c>
      <c r="G15" s="12" t="s">
        <v>35</v>
      </c>
    </row>
    <row r="16" customFormat="false" ht="15" hidden="false" customHeight="false" outlineLevel="0" collapsed="false">
      <c r="A16" s="6" t="s">
        <v>36</v>
      </c>
      <c r="B16" s="7" t="s">
        <v>37</v>
      </c>
      <c r="C16" s="6" t="n">
        <v>3</v>
      </c>
      <c r="D16" s="10" t="n">
        <v>0.1</v>
      </c>
      <c r="E16" s="10" t="n">
        <v>0.2</v>
      </c>
      <c r="F16" s="16" t="n">
        <f aca="false">D16+E16</f>
        <v>0.3</v>
      </c>
      <c r="G16" s="12" t="s">
        <v>38</v>
      </c>
    </row>
    <row r="17" customFormat="false" ht="15" hidden="false" customHeight="false" outlineLevel="0" collapsed="false">
      <c r="A17" s="6" t="s">
        <v>39</v>
      </c>
      <c r="B17" s="7" t="s">
        <v>40</v>
      </c>
      <c r="C17" s="6" t="n">
        <v>3</v>
      </c>
      <c r="D17" s="10" t="n">
        <v>0.1</v>
      </c>
      <c r="E17" s="10" t="n">
        <v>0.3</v>
      </c>
      <c r="F17" s="16" t="n">
        <f aca="false">D17+E17</f>
        <v>0.4</v>
      </c>
      <c r="G17" s="12" t="s">
        <v>41</v>
      </c>
    </row>
    <row r="18" customFormat="false" ht="15" hidden="false" customHeight="false" outlineLevel="0" collapsed="false">
      <c r="A18" s="6" t="s">
        <v>42</v>
      </c>
      <c r="B18" s="7" t="s">
        <v>43</v>
      </c>
      <c r="C18" s="6" t="n">
        <v>2</v>
      </c>
      <c r="D18" s="10" t="n">
        <v>0.1</v>
      </c>
      <c r="E18" s="10" t="n">
        <v>0.3</v>
      </c>
      <c r="F18" s="16" t="n">
        <f aca="false">D18+E18</f>
        <v>0.4</v>
      </c>
      <c r="G18" s="12" t="s">
        <v>44</v>
      </c>
    </row>
    <row r="19" customFormat="false" ht="15" hidden="false" customHeight="false" outlineLevel="0" collapsed="false">
      <c r="A19" s="6" t="s">
        <v>45</v>
      </c>
      <c r="B19" s="7" t="s">
        <v>46</v>
      </c>
      <c r="C19" s="6" t="n">
        <v>6</v>
      </c>
      <c r="D19" s="10" t="n">
        <v>0.1</v>
      </c>
      <c r="E19" s="10" t="n">
        <v>0.3</v>
      </c>
      <c r="F19" s="16" t="n">
        <f aca="false">D19+E19</f>
        <v>0.4</v>
      </c>
      <c r="G19" s="12" t="s">
        <v>47</v>
      </c>
    </row>
    <row r="20" customFormat="false" ht="15" hidden="false" customHeight="false" outlineLevel="0" collapsed="false">
      <c r="A20" s="6" t="s">
        <v>48</v>
      </c>
      <c r="B20" s="7" t="s">
        <v>49</v>
      </c>
      <c r="C20" s="6" t="n">
        <v>5</v>
      </c>
      <c r="D20" s="10" t="n">
        <v>0.1</v>
      </c>
      <c r="E20" s="10" t="n">
        <v>0.3</v>
      </c>
      <c r="F20" s="16" t="n">
        <f aca="false">D20+E20</f>
        <v>0.4</v>
      </c>
      <c r="G20" s="12" t="s">
        <v>50</v>
      </c>
    </row>
    <row r="21" customFormat="false" ht="15" hidden="false" customHeight="false" outlineLevel="0" collapsed="false">
      <c r="A21" s="6" t="s">
        <v>51</v>
      </c>
      <c r="B21" s="17" t="s">
        <v>52</v>
      </c>
      <c r="C21" s="6" t="s">
        <v>53</v>
      </c>
      <c r="D21" s="10" t="n">
        <v>0.1</v>
      </c>
      <c r="E21" s="10" t="n">
        <v>0.3</v>
      </c>
      <c r="F21" s="16" t="n">
        <f aca="false">D21+E21</f>
        <v>0.4</v>
      </c>
      <c r="G21" s="18" t="s">
        <v>54</v>
      </c>
    </row>
    <row r="22" customFormat="false" ht="15" hidden="false" customHeight="false" outlineLevel="0" collapsed="false">
      <c r="A22" s="6" t="s">
        <v>55</v>
      </c>
      <c r="B22" s="17" t="s">
        <v>56</v>
      </c>
      <c r="C22" s="6" t="s">
        <v>53</v>
      </c>
      <c r="D22" s="10" t="n">
        <v>0.2</v>
      </c>
      <c r="E22" s="10" t="n">
        <v>0.2</v>
      </c>
      <c r="F22" s="16" t="n">
        <f aca="false">D22+E22</f>
        <v>0.4</v>
      </c>
      <c r="G22" s="12" t="s">
        <v>57</v>
      </c>
    </row>
    <row r="23" customFormat="false" ht="15" hidden="false" customHeight="false" outlineLevel="0" collapsed="false">
      <c r="A23" s="13" t="s">
        <v>58</v>
      </c>
      <c r="B23" s="13"/>
      <c r="C23" s="13"/>
      <c r="D23" s="19" t="n">
        <f aca="false">SUM(D13:D22)</f>
        <v>1.3</v>
      </c>
      <c r="E23" s="19" t="n">
        <f aca="false">SUM(E13:E22)</f>
        <v>3.3</v>
      </c>
      <c r="F23" s="19" t="n">
        <f aca="false">SUM(F13:F22)</f>
        <v>4.6</v>
      </c>
      <c r="G23" s="20" t="s">
        <v>59</v>
      </c>
    </row>
    <row r="25" customFormat="false" ht="15" hidden="false" customHeight="false" outlineLevel="0" collapsed="false">
      <c r="A25" s="3" t="s">
        <v>60</v>
      </c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21" t="s">
        <v>61</v>
      </c>
      <c r="B26" s="21"/>
      <c r="C26" s="21"/>
      <c r="D26" s="21"/>
      <c r="E26" s="11" t="n">
        <f aca="false">F9</f>
        <v>1960</v>
      </c>
      <c r="F26" s="22" t="s">
        <v>62</v>
      </c>
      <c r="G26" s="22"/>
    </row>
    <row r="27" customFormat="false" ht="15" hidden="false" customHeight="false" outlineLevel="0" collapsed="false">
      <c r="A27" s="21" t="s">
        <v>63</v>
      </c>
      <c r="B27" s="21"/>
      <c r="C27" s="21"/>
      <c r="D27" s="21"/>
      <c r="E27" s="23" t="n">
        <v>50</v>
      </c>
      <c r="F27" s="22" t="s">
        <v>64</v>
      </c>
      <c r="G27" s="22"/>
    </row>
    <row r="28" customFormat="false" ht="15" hidden="false" customHeight="false" outlineLevel="0" collapsed="false">
      <c r="A28" s="21" t="s">
        <v>65</v>
      </c>
      <c r="B28" s="21"/>
      <c r="C28" s="21"/>
      <c r="D28" s="21"/>
      <c r="E28" s="23" t="n">
        <v>30</v>
      </c>
      <c r="F28" s="24" t="s">
        <v>66</v>
      </c>
      <c r="G28" s="24"/>
    </row>
    <row r="29" customFormat="false" ht="15" hidden="false" customHeight="false" outlineLevel="0" collapsed="false">
      <c r="A29" s="25" t="s">
        <v>67</v>
      </c>
      <c r="B29" s="25"/>
      <c r="C29" s="25"/>
      <c r="D29" s="25"/>
      <c r="E29" s="26" t="n">
        <f aca="false">SUM(E26:E28)</f>
        <v>2040</v>
      </c>
      <c r="F29" s="27"/>
      <c r="G29" s="27"/>
    </row>
    <row r="30" customFormat="false" ht="15" hidden="false" customHeight="false" outlineLevel="0" collapsed="false">
      <c r="A30" s="28" t="s">
        <v>68</v>
      </c>
      <c r="B30" s="28"/>
      <c r="C30" s="28"/>
      <c r="D30" s="28"/>
      <c r="E30" s="11" t="n">
        <f aca="false">E29*0.1</f>
        <v>204</v>
      </c>
      <c r="F30" s="6"/>
      <c r="G30" s="6"/>
    </row>
    <row r="31" customFormat="false" ht="16.4" hidden="false" customHeight="false" outlineLevel="0" collapsed="false">
      <c r="A31" s="29" t="s">
        <v>69</v>
      </c>
      <c r="B31" s="29"/>
      <c r="C31" s="29"/>
      <c r="D31" s="29"/>
      <c r="E31" s="30" t="n">
        <f aca="false">E29+E30</f>
        <v>2244</v>
      </c>
      <c r="F31" s="31"/>
      <c r="G31" s="31"/>
    </row>
    <row r="33" customFormat="false" ht="14.9" hidden="false" customHeight="false" outlineLevel="0" collapsed="false">
      <c r="A33" s="3" t="s">
        <v>70</v>
      </c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4" t="s">
        <v>23</v>
      </c>
      <c r="B34" s="5" t="s">
        <v>71</v>
      </c>
      <c r="C34" s="5" t="s">
        <v>72</v>
      </c>
      <c r="D34" s="5" t="s">
        <v>73</v>
      </c>
      <c r="E34" s="5" t="s">
        <v>74</v>
      </c>
      <c r="F34" s="5" t="s">
        <v>75</v>
      </c>
      <c r="G34" s="5" t="s">
        <v>29</v>
      </c>
    </row>
    <row r="35" customFormat="false" ht="12.65" hidden="false" customHeight="false" outlineLevel="0" collapsed="false">
      <c r="A35" s="32" t="s">
        <v>76</v>
      </c>
      <c r="B35" s="32"/>
      <c r="C35" s="32"/>
      <c r="D35" s="32"/>
      <c r="E35" s="32"/>
      <c r="F35" s="32"/>
      <c r="G35" s="32"/>
    </row>
    <row r="36" customFormat="false" ht="23.85" hidden="false" customHeight="false" outlineLevel="0" collapsed="false">
      <c r="A36" s="6" t="s">
        <v>9</v>
      </c>
      <c r="B36" s="7" t="s">
        <v>77</v>
      </c>
      <c r="C36" s="33" t="s">
        <v>78</v>
      </c>
      <c r="D36" s="9" t="n">
        <v>35</v>
      </c>
      <c r="E36" s="11" t="n">
        <f aca="false">D36*12</f>
        <v>420</v>
      </c>
      <c r="F36" s="34" t="n">
        <f aca="false">IF(D47=0,"-",D36/D47)</f>
        <v>0.269230769230769</v>
      </c>
      <c r="G36" s="18" t="s">
        <v>79</v>
      </c>
    </row>
    <row r="37" customFormat="false" ht="23.85" hidden="false" customHeight="false" outlineLevel="0" collapsed="false">
      <c r="A37" s="6" t="s">
        <v>13</v>
      </c>
      <c r="B37" s="17" t="s">
        <v>80</v>
      </c>
      <c r="C37" s="33" t="s">
        <v>81</v>
      </c>
      <c r="D37" s="9" t="n">
        <v>10</v>
      </c>
      <c r="E37" s="11" t="n">
        <f aca="false">D37*12</f>
        <v>120</v>
      </c>
      <c r="F37" s="34" t="n">
        <f aca="false">IF(D47=0,"-",D37/D47)</f>
        <v>0.0769230769230769</v>
      </c>
      <c r="G37" s="12" t="s">
        <v>82</v>
      </c>
    </row>
    <row r="38" customFormat="false" ht="15" hidden="false" customHeight="false" outlineLevel="0" collapsed="false">
      <c r="A38" s="6" t="s">
        <v>17</v>
      </c>
      <c r="B38" s="17" t="s">
        <v>83</v>
      </c>
      <c r="C38" s="35" t="s">
        <v>84</v>
      </c>
      <c r="D38" s="9" t="n">
        <v>3</v>
      </c>
      <c r="E38" s="11" t="n">
        <f aca="false">D38*12</f>
        <v>36</v>
      </c>
      <c r="F38" s="34" t="n">
        <f aca="false">IF(D47=0,"-",D38/D47)</f>
        <v>0.0230769230769231</v>
      </c>
      <c r="G38" s="18" t="s">
        <v>85</v>
      </c>
    </row>
    <row r="39" customFormat="false" ht="15" hidden="false" customHeight="false" outlineLevel="0" collapsed="false">
      <c r="A39" s="6" t="s">
        <v>36</v>
      </c>
      <c r="B39" s="7" t="s">
        <v>86</v>
      </c>
      <c r="C39" s="33" t="s">
        <v>87</v>
      </c>
      <c r="D39" s="9" t="n">
        <v>2</v>
      </c>
      <c r="E39" s="11" t="n">
        <f aca="false">D39*12</f>
        <v>24</v>
      </c>
      <c r="F39" s="34" t="n">
        <f aca="false">IF(D47=0,"-",D39/D47)</f>
        <v>0.0153846153846154</v>
      </c>
      <c r="G39" s="12" t="s">
        <v>88</v>
      </c>
    </row>
    <row r="40" customFormat="false" ht="12.65" hidden="false" customHeight="false" outlineLevel="0" collapsed="false">
      <c r="A40" s="32" t="s">
        <v>89</v>
      </c>
      <c r="B40" s="32"/>
      <c r="C40" s="32"/>
      <c r="D40" s="32"/>
      <c r="E40" s="32"/>
      <c r="F40" s="32"/>
      <c r="G40" s="32"/>
    </row>
    <row r="41" customFormat="false" ht="23.85" hidden="false" customHeight="false" outlineLevel="0" collapsed="false">
      <c r="A41" s="6" t="s">
        <v>39</v>
      </c>
      <c r="B41" s="17" t="s">
        <v>90</v>
      </c>
      <c r="C41" s="33" t="s">
        <v>91</v>
      </c>
      <c r="D41" s="9" t="n">
        <v>10</v>
      </c>
      <c r="E41" s="11" t="n">
        <f aca="false">D41*12</f>
        <v>120</v>
      </c>
      <c r="F41" s="34" t="n">
        <f aca="false">IF(D47=0,"-",D41/D47)</f>
        <v>0.0769230769230769</v>
      </c>
      <c r="G41" s="12" t="s">
        <v>92</v>
      </c>
    </row>
    <row r="42" customFormat="false" ht="12.65" hidden="false" customHeight="false" outlineLevel="0" collapsed="false">
      <c r="A42" s="32" t="s">
        <v>93</v>
      </c>
      <c r="B42" s="32"/>
      <c r="C42" s="32"/>
      <c r="D42" s="32"/>
      <c r="E42" s="32"/>
      <c r="F42" s="32"/>
      <c r="G42" s="32"/>
    </row>
    <row r="43" customFormat="false" ht="15" hidden="false" customHeight="false" outlineLevel="0" collapsed="false">
      <c r="A43" s="6" t="s">
        <v>42</v>
      </c>
      <c r="B43" s="7" t="s">
        <v>94</v>
      </c>
      <c r="C43" s="35" t="s">
        <v>95</v>
      </c>
      <c r="D43" s="9" t="n">
        <v>30</v>
      </c>
      <c r="E43" s="11" t="n">
        <f aca="false">D43*12</f>
        <v>360</v>
      </c>
      <c r="F43" s="34" t="n">
        <f aca="false">IF(D47=0,"-",D43/D47)</f>
        <v>0.230769230769231</v>
      </c>
      <c r="G43" s="12" t="s">
        <v>96</v>
      </c>
    </row>
    <row r="44" customFormat="false" ht="15" hidden="false" customHeight="false" outlineLevel="0" collapsed="false">
      <c r="A44" s="6" t="s">
        <v>45</v>
      </c>
      <c r="B44" s="7" t="s">
        <v>97</v>
      </c>
      <c r="C44" s="33" t="s">
        <v>98</v>
      </c>
      <c r="D44" s="9" t="n">
        <v>30</v>
      </c>
      <c r="E44" s="11" t="n">
        <f aca="false">D44*12</f>
        <v>360</v>
      </c>
      <c r="F44" s="34" t="n">
        <f aca="false">IF(D47=0,"-",D44/D47)</f>
        <v>0.230769230769231</v>
      </c>
      <c r="G44" s="12" t="s">
        <v>99</v>
      </c>
    </row>
    <row r="45" customFormat="false" ht="15" hidden="false" customHeight="false" outlineLevel="0" collapsed="false">
      <c r="A45" s="6" t="s">
        <v>48</v>
      </c>
      <c r="B45" s="7" t="s">
        <v>100</v>
      </c>
      <c r="C45" s="35" t="s">
        <v>101</v>
      </c>
      <c r="D45" s="9" t="n">
        <v>5</v>
      </c>
      <c r="E45" s="11" t="n">
        <f aca="false">D45*12</f>
        <v>60</v>
      </c>
      <c r="F45" s="34" t="n">
        <f aca="false">IF(D47=0,"-",D45/D47)</f>
        <v>0.0384615384615385</v>
      </c>
      <c r="G45" s="12" t="s">
        <v>102</v>
      </c>
    </row>
    <row r="46" customFormat="false" ht="15" hidden="false" customHeight="false" outlineLevel="0" collapsed="false">
      <c r="A46" s="6" t="s">
        <v>51</v>
      </c>
      <c r="B46" s="7" t="s">
        <v>103</v>
      </c>
      <c r="C46" s="35" t="s">
        <v>104</v>
      </c>
      <c r="D46" s="9" t="n">
        <v>5</v>
      </c>
      <c r="E46" s="11" t="n">
        <f aca="false">D46*12</f>
        <v>60</v>
      </c>
      <c r="F46" s="34" t="n">
        <f aca="false">IF(D47=0,"-",D46/D47)</f>
        <v>0.0384615384615385</v>
      </c>
      <c r="G46" s="12" t="s">
        <v>105</v>
      </c>
    </row>
    <row r="47" customFormat="false" ht="15" hidden="false" customHeight="false" outlineLevel="0" collapsed="false">
      <c r="A47" s="13" t="s">
        <v>106</v>
      </c>
      <c r="B47" s="13"/>
      <c r="C47" s="13"/>
      <c r="D47" s="14" t="n">
        <f aca="false">D36+D37+D38+D39+D41+D43+D44+D45+D46</f>
        <v>130</v>
      </c>
      <c r="E47" s="14" t="n">
        <f aca="false">D47*12</f>
        <v>1560</v>
      </c>
      <c r="F47" s="36" t="s">
        <v>107</v>
      </c>
      <c r="G47" s="27"/>
    </row>
    <row r="48" customFormat="false" ht="15" hidden="false" customHeight="false" outlineLevel="0" collapsed="false">
      <c r="A48" s="28" t="s">
        <v>68</v>
      </c>
      <c r="B48" s="28"/>
      <c r="C48" s="28"/>
      <c r="D48" s="11" t="n">
        <f aca="false">D47*0.1</f>
        <v>13</v>
      </c>
      <c r="E48" s="11" t="n">
        <f aca="false">D48*12</f>
        <v>156</v>
      </c>
      <c r="F48" s="6"/>
      <c r="G48" s="6"/>
    </row>
    <row r="49" customFormat="false" ht="16.4" hidden="false" customHeight="false" outlineLevel="0" collapsed="false">
      <c r="A49" s="29" t="s">
        <v>108</v>
      </c>
      <c r="B49" s="29"/>
      <c r="C49" s="29"/>
      <c r="D49" s="30" t="n">
        <f aca="false">D47+D48</f>
        <v>143</v>
      </c>
      <c r="E49" s="30" t="n">
        <f aca="false">D49*12</f>
        <v>1716</v>
      </c>
      <c r="F49" s="31"/>
      <c r="G49" s="31"/>
    </row>
    <row r="51" customFormat="false" ht="15" hidden="false" customHeight="false" outlineLevel="0" collapsed="false">
      <c r="A51" s="37" t="s">
        <v>109</v>
      </c>
      <c r="B51" s="37"/>
      <c r="C51" s="37"/>
      <c r="D51" s="37"/>
      <c r="E51" s="37"/>
      <c r="F51" s="37"/>
      <c r="G51" s="37"/>
    </row>
    <row r="52" customFormat="false" ht="15" hidden="false" customHeight="false" outlineLevel="0" collapsed="false">
      <c r="A52" s="4"/>
      <c r="B52" s="38" t="s">
        <v>110</v>
      </c>
      <c r="D52" s="5" t="s">
        <v>111</v>
      </c>
      <c r="E52" s="5" t="s">
        <v>112</v>
      </c>
      <c r="F52" s="5" t="s">
        <v>113</v>
      </c>
      <c r="G52" s="5" t="s">
        <v>114</v>
      </c>
    </row>
    <row r="53" customFormat="false" ht="15" hidden="false" customHeight="false" outlineLevel="0" collapsed="false">
      <c r="A53" s="6" t="s">
        <v>9</v>
      </c>
      <c r="B53" s="7" t="s">
        <v>115</v>
      </c>
      <c r="D53" s="23" t="n">
        <v>15000</v>
      </c>
      <c r="E53" s="11" t="n">
        <f aca="false">E29</f>
        <v>2040</v>
      </c>
      <c r="F53" s="39" t="n">
        <f aca="false">D53-E53</f>
        <v>12960</v>
      </c>
      <c r="G53" s="40" t="n">
        <f aca="false">IF(D53=0,"-",F53/D53)</f>
        <v>0.864</v>
      </c>
    </row>
    <row r="54" customFormat="false" ht="15" hidden="false" customHeight="false" outlineLevel="0" collapsed="false">
      <c r="A54" s="6" t="s">
        <v>13</v>
      </c>
      <c r="B54" s="7" t="s">
        <v>116</v>
      </c>
      <c r="D54" s="23" t="n">
        <v>16500</v>
      </c>
      <c r="E54" s="11" t="n">
        <f aca="false">E31</f>
        <v>2244</v>
      </c>
      <c r="F54" s="39" t="n">
        <f aca="false">D54-E54</f>
        <v>14256</v>
      </c>
      <c r="G54" s="40" t="n">
        <f aca="false">IF(D54=0,"-",F54/D54)</f>
        <v>0.864</v>
      </c>
    </row>
    <row r="55" customFormat="false" ht="15" hidden="false" customHeight="false" outlineLevel="0" collapsed="false">
      <c r="A55" s="6" t="s">
        <v>17</v>
      </c>
      <c r="B55" s="7" t="s">
        <v>117</v>
      </c>
      <c r="D55" s="23" t="n">
        <v>200</v>
      </c>
      <c r="E55" s="11" t="n">
        <f aca="false">D49</f>
        <v>143</v>
      </c>
      <c r="F55" s="39" t="n">
        <f aca="false">D55-E55</f>
        <v>57</v>
      </c>
      <c r="G55" s="40" t="n">
        <f aca="false">IF(D55=0,"-",F55/D55)</f>
        <v>0.285</v>
      </c>
    </row>
    <row r="56" customFormat="false" ht="15" hidden="false" customHeight="false" outlineLevel="0" collapsed="false">
      <c r="A56" s="6" t="s">
        <v>36</v>
      </c>
      <c r="B56" s="7" t="s">
        <v>118</v>
      </c>
      <c r="D56" s="23" t="n">
        <v>2400</v>
      </c>
      <c r="E56" s="11" t="n">
        <f aca="false">E49</f>
        <v>1716</v>
      </c>
      <c r="F56" s="39" t="n">
        <f aca="false">D56-E56</f>
        <v>684</v>
      </c>
      <c r="G56" s="40" t="n">
        <f aca="false">IF(D56=0,"-",F56/D56)</f>
        <v>0.285</v>
      </c>
    </row>
    <row r="57" customFormat="false" ht="15" hidden="false" customHeight="false" outlineLevel="0" collapsed="false">
      <c r="A57" s="6" t="s">
        <v>39</v>
      </c>
      <c r="B57" s="7" t="s">
        <v>119</v>
      </c>
      <c r="D57" s="41" t="s">
        <v>120</v>
      </c>
      <c r="E57" s="41" t="s">
        <v>121</v>
      </c>
      <c r="F57" s="41" t="s">
        <v>122</v>
      </c>
      <c r="G57" s="41" t="s">
        <v>123</v>
      </c>
    </row>
    <row r="58" customFormat="false" ht="15" hidden="false" customHeight="false" outlineLevel="0" collapsed="false">
      <c r="A58" s="6" t="s">
        <v>42</v>
      </c>
      <c r="B58" s="7" t="s">
        <v>124</v>
      </c>
      <c r="D58" s="42" t="s">
        <v>125</v>
      </c>
      <c r="E58" s="41" t="s">
        <v>126</v>
      </c>
      <c r="F58" s="43" t="s">
        <v>53</v>
      </c>
      <c r="G58" s="43" t="s">
        <v>53</v>
      </c>
    </row>
    <row r="60" customFormat="false" ht="15" hidden="false" customHeight="false" outlineLevel="0" collapsed="false">
      <c r="A60" s="3" t="s">
        <v>127</v>
      </c>
      <c r="B60" s="3"/>
      <c r="C60" s="3"/>
      <c r="D60" s="3"/>
      <c r="E60" s="3"/>
      <c r="F60" s="3"/>
      <c r="G60" s="3"/>
    </row>
    <row r="61" customFormat="false" ht="15" hidden="false" customHeight="false" outlineLevel="0" collapsed="false">
      <c r="A61" s="4"/>
      <c r="B61" s="5" t="s">
        <v>128</v>
      </c>
      <c r="C61" s="5" t="s">
        <v>75</v>
      </c>
      <c r="D61" s="5" t="s">
        <v>129</v>
      </c>
      <c r="E61" s="4"/>
      <c r="F61" s="5" t="s">
        <v>29</v>
      </c>
      <c r="G61" s="4"/>
    </row>
    <row r="62" customFormat="false" ht="15" hidden="false" customHeight="false" outlineLevel="0" collapsed="false">
      <c r="A62" s="6" t="s">
        <v>9</v>
      </c>
      <c r="B62" s="7" t="s">
        <v>130</v>
      </c>
      <c r="C62" s="6" t="s">
        <v>123</v>
      </c>
      <c r="D62" s="11" t="n">
        <f aca="false">E29*0.5</f>
        <v>1020</v>
      </c>
      <c r="E62" s="6"/>
      <c r="F62" s="24" t="s">
        <v>131</v>
      </c>
      <c r="G62" s="6"/>
    </row>
    <row r="63" customFormat="false" ht="15" hidden="false" customHeight="false" outlineLevel="0" collapsed="false">
      <c r="A63" s="6" t="s">
        <v>13</v>
      </c>
      <c r="B63" s="7" t="s">
        <v>132</v>
      </c>
      <c r="C63" s="6" t="s">
        <v>123</v>
      </c>
      <c r="D63" s="11" t="n">
        <f aca="false">E29*0.5</f>
        <v>1020</v>
      </c>
      <c r="E63" s="6"/>
      <c r="F63" s="24" t="s">
        <v>133</v>
      </c>
      <c r="G63" s="6"/>
    </row>
    <row r="64" customFormat="false" ht="15" hidden="false" customHeight="false" outlineLevel="0" collapsed="false">
      <c r="A64" s="27"/>
      <c r="B64" s="44" t="s">
        <v>134</v>
      </c>
      <c r="C64" s="27" t="s">
        <v>107</v>
      </c>
      <c r="D64" s="45" t="n">
        <f aca="false">E29</f>
        <v>2040</v>
      </c>
      <c r="E64" s="27"/>
      <c r="F64" s="20"/>
      <c r="G64" s="27"/>
    </row>
    <row r="66" customFormat="false" ht="14.9" hidden="false" customHeight="false" outlineLevel="0" collapsed="false">
      <c r="A66" s="46" t="s">
        <v>135</v>
      </c>
      <c r="B66" s="46"/>
      <c r="C66" s="46"/>
      <c r="D66" s="46"/>
      <c r="E66" s="46"/>
      <c r="F66" s="46"/>
      <c r="G66" s="46"/>
    </row>
    <row r="67" customFormat="false" ht="15" hidden="false" customHeight="false" outlineLevel="0" collapsed="false">
      <c r="A67" s="4"/>
      <c r="B67" s="5" t="s">
        <v>136</v>
      </c>
      <c r="C67" s="5" t="s">
        <v>137</v>
      </c>
      <c r="D67" s="5" t="s">
        <v>138</v>
      </c>
      <c r="E67" s="5"/>
      <c r="F67" s="5" t="s">
        <v>139</v>
      </c>
      <c r="G67" s="5"/>
    </row>
    <row r="68" customFormat="false" ht="15" hidden="false" customHeight="true" outlineLevel="0" collapsed="false">
      <c r="A68" s="6"/>
      <c r="B68" s="17" t="s">
        <v>140</v>
      </c>
      <c r="C68" s="35" t="s">
        <v>141</v>
      </c>
      <c r="D68" s="33" t="s">
        <v>142</v>
      </c>
      <c r="E68" s="33"/>
      <c r="F68" s="18" t="s">
        <v>143</v>
      </c>
      <c r="G68" s="18"/>
    </row>
    <row r="69" customFormat="false" ht="15" hidden="false" customHeight="true" outlineLevel="0" collapsed="false">
      <c r="A69" s="6"/>
      <c r="B69" s="17" t="s">
        <v>144</v>
      </c>
      <c r="C69" s="35" t="s">
        <v>145</v>
      </c>
      <c r="D69" s="35" t="s">
        <v>146</v>
      </c>
      <c r="E69" s="35"/>
      <c r="F69" s="12" t="s">
        <v>147</v>
      </c>
      <c r="G69" s="12"/>
    </row>
    <row r="70" customFormat="false" ht="15" hidden="false" customHeight="true" outlineLevel="0" collapsed="false">
      <c r="A70" s="6"/>
      <c r="B70" s="17" t="s">
        <v>148</v>
      </c>
      <c r="C70" s="33" t="s">
        <v>149</v>
      </c>
      <c r="D70" s="35" t="s">
        <v>150</v>
      </c>
      <c r="E70" s="35"/>
      <c r="F70" s="12" t="s">
        <v>151</v>
      </c>
      <c r="G70" s="12"/>
    </row>
    <row r="71" customFormat="false" ht="15" hidden="false" customHeight="true" outlineLevel="0" collapsed="false">
      <c r="A71" s="6"/>
      <c r="B71" s="17" t="s">
        <v>152</v>
      </c>
      <c r="C71" s="33" t="s">
        <v>153</v>
      </c>
      <c r="D71" s="35" t="s">
        <v>154</v>
      </c>
      <c r="E71" s="35"/>
      <c r="F71" s="12" t="s">
        <v>155</v>
      </c>
      <c r="G71" s="12"/>
    </row>
    <row r="72" customFormat="false" ht="15" hidden="false" customHeight="true" outlineLevel="0" collapsed="false">
      <c r="A72" s="6"/>
      <c r="B72" s="17" t="s">
        <v>156</v>
      </c>
      <c r="C72" s="35" t="s">
        <v>157</v>
      </c>
      <c r="D72" s="35" t="s">
        <v>158</v>
      </c>
      <c r="E72" s="35"/>
      <c r="F72" s="12" t="s">
        <v>159</v>
      </c>
      <c r="G72" s="12"/>
    </row>
    <row r="73" customFormat="false" ht="15" hidden="false" customHeight="true" outlineLevel="0" collapsed="false">
      <c r="A73" s="6"/>
      <c r="B73" s="17" t="s">
        <v>160</v>
      </c>
      <c r="C73" s="35" t="s">
        <v>161</v>
      </c>
      <c r="D73" s="35" t="s">
        <v>162</v>
      </c>
      <c r="E73" s="35"/>
      <c r="F73" s="12" t="s">
        <v>163</v>
      </c>
      <c r="G73" s="12"/>
    </row>
    <row r="75" customFormat="false" ht="15" hidden="false" customHeight="false" outlineLevel="0" collapsed="false">
      <c r="A75" s="47" t="s">
        <v>164</v>
      </c>
      <c r="B75" s="47"/>
      <c r="C75" s="47"/>
      <c r="D75" s="47"/>
      <c r="E75" s="47"/>
      <c r="F75" s="47"/>
      <c r="G75" s="47"/>
    </row>
    <row r="76" customFormat="false" ht="11.9" hidden="false" customHeight="false" outlineLevel="0" collapsed="false">
      <c r="A76" s="48" t="s">
        <v>165</v>
      </c>
      <c r="B76" s="48"/>
      <c r="C76" s="48"/>
      <c r="D76" s="48"/>
      <c r="E76" s="48"/>
      <c r="F76" s="48"/>
      <c r="G76" s="48"/>
    </row>
    <row r="77" customFormat="false" ht="11.9" hidden="false" customHeight="false" outlineLevel="0" collapsed="false">
      <c r="A77" s="49" t="s">
        <v>166</v>
      </c>
      <c r="B77" s="49"/>
      <c r="C77" s="49"/>
      <c r="D77" s="49"/>
      <c r="E77" s="49"/>
      <c r="F77" s="49"/>
      <c r="G77" s="49"/>
    </row>
    <row r="78" customFormat="false" ht="11.9" hidden="false" customHeight="false" outlineLevel="0" collapsed="false">
      <c r="A78" s="48" t="s">
        <v>167</v>
      </c>
      <c r="B78" s="48"/>
      <c r="C78" s="48"/>
      <c r="D78" s="48"/>
      <c r="E78" s="48"/>
      <c r="F78" s="48"/>
      <c r="G78" s="48"/>
    </row>
    <row r="79" customFormat="false" ht="11.9" hidden="false" customHeight="false" outlineLevel="0" collapsed="false">
      <c r="A79" s="49" t="s">
        <v>168</v>
      </c>
      <c r="B79" s="49"/>
      <c r="C79" s="49"/>
      <c r="D79" s="49"/>
      <c r="E79" s="49"/>
      <c r="F79" s="49"/>
      <c r="G79" s="49"/>
    </row>
    <row r="80" customFormat="false" ht="11.9" hidden="false" customHeight="false" outlineLevel="0" collapsed="false">
      <c r="A80" s="48" t="s">
        <v>169</v>
      </c>
      <c r="B80" s="48"/>
      <c r="C80" s="48"/>
      <c r="D80" s="48"/>
      <c r="E80" s="48"/>
      <c r="F80" s="48"/>
      <c r="G80" s="48"/>
    </row>
    <row r="81" customFormat="false" ht="11.9" hidden="false" customHeight="false" outlineLevel="0" collapsed="false">
      <c r="A81" s="48" t="s">
        <v>170</v>
      </c>
      <c r="B81" s="48"/>
      <c r="C81" s="48"/>
      <c r="D81" s="48"/>
      <c r="E81" s="48"/>
      <c r="F81" s="48"/>
      <c r="G81" s="48"/>
    </row>
  </sheetData>
  <mergeCells count="50">
    <mergeCell ref="A1:G1"/>
    <mergeCell ref="A2:G2"/>
    <mergeCell ref="A4:G4"/>
    <mergeCell ref="A9:E9"/>
    <mergeCell ref="A11:G11"/>
    <mergeCell ref="A23:C23"/>
    <mergeCell ref="A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3:G33"/>
    <mergeCell ref="A35:G35"/>
    <mergeCell ref="A40:G40"/>
    <mergeCell ref="A42:G42"/>
    <mergeCell ref="A47:C47"/>
    <mergeCell ref="A48:C48"/>
    <mergeCell ref="A49:C49"/>
    <mergeCell ref="A51:G51"/>
    <mergeCell ref="A60:G60"/>
    <mergeCell ref="A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A75:G75"/>
    <mergeCell ref="A76:G76"/>
    <mergeCell ref="A77:G77"/>
    <mergeCell ref="A78:G78"/>
    <mergeCell ref="A79:G79"/>
    <mergeCell ref="A80:G80"/>
    <mergeCell ref="A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2026-03-24T07:12:57Z</dcterms:created>
  <dc:creator>openpyxl</dc:creator>
  <dc:description/>
  <dc:language>en-US</dc:language>
  <cp:lastModifiedBy/>
  <dcterms:modified xsi:type="dcterms:W3CDTF">2026-03-24T07:12:57Z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