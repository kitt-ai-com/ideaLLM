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VP 전략" sheetId="1" state="visible" r:id="rId3"/>
    <sheet name="상세 견적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<sst xmlns="http://schemas.openxmlformats.org/spreadsheetml/2006/main" count="226" uniqueCount="171">
  <si>
    <r>
      <rPr>
        <b val="true"/>
        <sz val="16"/>
        <color rgb="FFFFFFFF"/>
        <rFont val="DejaVu Sans"/>
        <family val="2"/>
      </rPr>
      <t xml:space="preserve">슬리밍고 </t>
    </r>
    <r>
      <rPr>
        <b val="true"/>
        <sz val="16"/>
        <color rgb="FFFFFFFF"/>
        <rFont val="맑은 고딕"/>
        <family val="0"/>
        <charset val="1"/>
      </rPr>
      <t xml:space="preserve">AI </t>
    </r>
    <r>
      <rPr>
        <b val="true"/>
        <sz val="16"/>
        <color rgb="FFFFFFFF"/>
        <rFont val="DejaVu Sans"/>
        <family val="2"/>
      </rPr>
      <t xml:space="preserve">챗봇 — </t>
    </r>
    <r>
      <rPr>
        <b val="true"/>
        <sz val="16"/>
        <color rgb="FFFFFFFF"/>
        <rFont val="맑은 고딕"/>
        <family val="0"/>
        <charset val="1"/>
      </rPr>
      <t xml:space="preserve">MVP </t>
    </r>
    <r>
      <rPr>
        <b val="true"/>
        <sz val="16"/>
        <color rgb="FFFFFFFF"/>
        <rFont val="DejaVu Sans"/>
        <family val="2"/>
      </rPr>
      <t xml:space="preserve">가격 산정서 </t>
    </r>
    <r>
      <rPr>
        <b val="true"/>
        <sz val="16"/>
        <color rgb="FFFFFFFF"/>
        <rFont val="맑은 고딕"/>
        <family val="0"/>
        <charset val="1"/>
      </rPr>
      <t xml:space="preserve">(1</t>
    </r>
    <r>
      <rPr>
        <b val="true"/>
        <sz val="16"/>
        <color rgb="FFFFFFFF"/>
        <rFont val="DejaVu Sans"/>
        <family val="2"/>
      </rPr>
      <t xml:space="preserve">천만원 미만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</si>
  <si>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제안사</t>
    </r>
    <r>
      <rPr>
        <sz val="9"/>
        <color rgb="FF666666"/>
        <rFont val="맑은 고딕"/>
        <family val="0"/>
        <charset val="1"/>
      </rPr>
      <t xml:space="preserve">: (</t>
    </r>
    <r>
      <rPr>
        <sz val="9"/>
        <color rgb="FF666666"/>
        <rFont val="DejaVu Sans"/>
        <family val="2"/>
      </rPr>
      <t xml:space="preserve">주</t>
    </r>
    <r>
      <rPr>
        <sz val="9"/>
        <color rgb="FF666666"/>
        <rFont val="맑은 고딕"/>
        <family val="0"/>
        <charset val="1"/>
      </rPr>
      <t xml:space="preserve">)kitt  |  </t>
    </r>
    <r>
      <rPr>
        <sz val="9"/>
        <color rgb="FF666666"/>
        <rFont val="DejaVu Sans"/>
        <family val="2"/>
      </rPr>
      <t xml:space="preserve">전략</t>
    </r>
    <r>
      <rPr>
        <sz val="9"/>
        <color rgb="FF666666"/>
        <rFont val="맑은 고딕"/>
        <family val="0"/>
        <charset val="1"/>
      </rPr>
      <t xml:space="preserve">: MVP </t>
    </r>
    <r>
      <rPr>
        <sz val="9"/>
        <color rgb="FF666666"/>
        <rFont val="DejaVu Sans"/>
        <family val="2"/>
      </rPr>
      <t xml:space="preserve">우선 개발 → 단계적 확장  </t>
    </r>
    <r>
      <rPr>
        <sz val="9"/>
        <color rgb="FF666666"/>
        <rFont val="맑은 고딕"/>
        <family val="0"/>
        <charset val="1"/>
      </rPr>
      <t xml:space="preserve">|  2026.03.24</t>
    </r>
  </si>
  <si>
    <r>
      <rPr>
        <b val="true"/>
        <sz val="11"/>
        <color rgb="FF1B4332"/>
        <rFont val="맑은 고딕"/>
        <family val="0"/>
        <charset val="1"/>
      </rPr>
      <t xml:space="preserve">■ MVP </t>
    </r>
    <r>
      <rPr>
        <b val="true"/>
        <sz val="11"/>
        <color rgb="FF1B4332"/>
        <rFont val="DejaVu Sans"/>
        <family val="2"/>
      </rPr>
      <t xml:space="preserve">전략</t>
    </r>
    <r>
      <rPr>
        <b val="true"/>
        <sz val="11"/>
        <color rgb="FF1B4332"/>
        <rFont val="맑은 고딕"/>
        <family val="0"/>
        <charset val="1"/>
      </rPr>
      <t xml:space="preserve">: "</t>
    </r>
    <r>
      <rPr>
        <b val="true"/>
        <sz val="11"/>
        <color rgb="FF1B4332"/>
        <rFont val="DejaVu Sans"/>
        <family val="2"/>
      </rPr>
      <t xml:space="preserve">핵심 가치 먼저</t>
    </r>
    <r>
      <rPr>
        <b val="true"/>
        <sz val="11"/>
        <color rgb="FF1B4332"/>
        <rFont val="맑은 고딕"/>
        <family val="0"/>
        <charset val="1"/>
      </rPr>
      <t xml:space="preserve">, </t>
    </r>
    <r>
      <rPr>
        <b val="true"/>
        <sz val="11"/>
        <color rgb="FF1B4332"/>
        <rFont val="DejaVu Sans"/>
        <family val="2"/>
      </rPr>
      <t xml:space="preserve">나머지는 성과 확인 후 확장</t>
    </r>
    <r>
      <rPr>
        <b val="true"/>
        <sz val="11"/>
        <color rgb="FF1B4332"/>
        <rFont val="맑은 고딕"/>
        <family val="0"/>
        <charset val="1"/>
      </rPr>
      <t xml:space="preserve">"</t>
    </r>
  </si>
  <si>
    <t xml:space="preserve">구분</t>
  </si>
  <si>
    <r>
      <rPr>
        <b val="true"/>
        <sz val="11"/>
        <color rgb="FFFFFFFF"/>
        <rFont val="DejaVu Sans"/>
        <family val="2"/>
      </rPr>
      <t xml:space="preserve">기존 제안 </t>
    </r>
    <r>
      <rPr>
        <b val="true"/>
        <sz val="11"/>
        <color rgb="FFFFFFFF"/>
        <rFont val="맑은 고딕"/>
        <family val="0"/>
        <charset val="1"/>
      </rPr>
      <t xml:space="preserve">(Full)</t>
    </r>
  </si>
  <si>
    <r>
      <rPr>
        <b val="true"/>
        <sz val="11"/>
        <color rgb="FFFFFFFF"/>
        <rFont val="맑은 고딕"/>
        <family val="0"/>
        <charset val="1"/>
      </rPr>
      <t xml:space="preserve">MVP (1</t>
    </r>
    <r>
      <rPr>
        <b val="true"/>
        <sz val="11"/>
        <color rgb="FFFFFFFF"/>
        <rFont val="DejaVu Sans"/>
        <family val="2"/>
      </rPr>
      <t xml:space="preserve">차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</si>
  <si>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2</t>
    </r>
    <r>
      <rPr>
        <b val="true"/>
        <sz val="11"/>
        <color rgb="FFFFFFFF"/>
        <rFont val="DejaVu Sans"/>
        <family val="2"/>
      </rPr>
      <t xml:space="preserve">차 확장</t>
    </r>
  </si>
  <si>
    <t xml:space="preserve">비고</t>
  </si>
  <si>
    <t xml:space="preserve">1</t>
  </si>
  <si>
    <r>
      <rPr>
        <sz val="10"/>
        <rFont val="DejaVu Sans"/>
        <family val="2"/>
      </rPr>
      <t xml:space="preserve">카카오톡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챗봇</t>
    </r>
  </si>
  <si>
    <t xml:space="preserve">O</t>
  </si>
  <si>
    <t xml:space="preserve">● 포함</t>
  </si>
  <si>
    <t xml:space="preserve">—</t>
  </si>
  <si>
    <r>
      <rPr>
        <sz val="10"/>
        <rFont val="DejaVu Sans"/>
        <family val="2"/>
      </rPr>
      <t xml:space="preserve">핵심 채널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고객 유입 </t>
    </r>
    <r>
      <rPr>
        <sz val="10"/>
        <rFont val="맑은 고딕"/>
        <family val="0"/>
        <charset val="1"/>
      </rPr>
      <t xml:space="preserve">80%)</t>
    </r>
  </si>
  <si>
    <t xml:space="preserve">2</t>
  </si>
  <si>
    <t xml:space="preserve">홈페이지 웹 위젯</t>
  </si>
  <si>
    <t xml:space="preserve">간단 팝업 채팅</t>
  </si>
  <si>
    <t xml:space="preserve">3</t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</si>
  <si>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지식 검색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</si>
  <si>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정확 답변의 핵심</t>
    </r>
  </si>
  <si>
    <t xml:space="preserve">4</t>
  </si>
  <si>
    <t xml:space="preserve">기본 관리자 페이지</t>
  </si>
  <si>
    <r>
      <rPr>
        <sz val="10"/>
        <rFont val="맑은 고딕"/>
        <family val="0"/>
        <charset val="1"/>
      </rPr>
      <t xml:space="preserve">FAQ</t>
    </r>
    <r>
      <rPr>
        <sz val="10"/>
        <rFont val="DejaVu Sans"/>
        <family val="2"/>
      </rPr>
      <t xml:space="preserve">관리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대화로그</t>
    </r>
  </si>
  <si>
    <t xml:space="preserve">5</t>
  </si>
  <si>
    <r>
      <rPr>
        <sz val="10"/>
        <rFont val="DejaVu Sans"/>
        <family val="2"/>
      </rPr>
      <t xml:space="preserve">파일 업로드 →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학습</t>
    </r>
  </si>
  <si>
    <r>
      <rPr>
        <sz val="10"/>
        <rFont val="맑은 고딕"/>
        <family val="0"/>
        <charset val="1"/>
      </rPr>
      <t xml:space="preserve">PDF/</t>
    </r>
    <r>
      <rPr>
        <sz val="10"/>
        <rFont val="DejaVu Sans"/>
        <family val="2"/>
      </rPr>
      <t xml:space="preserve">문서 자동 분석</t>
    </r>
  </si>
  <si>
    <t xml:space="preserve">6</t>
  </si>
  <si>
    <r>
      <rPr>
        <sz val="10"/>
        <rFont val="DejaVu Sans"/>
        <family val="2"/>
      </rPr>
      <t xml:space="preserve">전화 음성 </t>
    </r>
    <r>
      <rPr>
        <sz val="10"/>
        <rFont val="맑은 고딕"/>
        <family val="0"/>
        <charset val="1"/>
      </rPr>
      <t xml:space="preserve">AI</t>
    </r>
  </si>
  <si>
    <t xml:space="preserve">✕ 제외</t>
  </si>
  <si>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차</t>
    </r>
  </si>
  <si>
    <t xml:space="preserve">가장 비용 높은 모듈</t>
  </si>
  <si>
    <t xml:space="preserve">7</t>
  </si>
  <si>
    <t xml:space="preserve">내부 직원용 챗봇</t>
  </si>
  <si>
    <t xml:space="preserve">고객용과 동일 엔진 활용</t>
  </si>
  <si>
    <t xml:space="preserve">8</t>
  </si>
  <si>
    <r>
      <rPr>
        <sz val="10"/>
        <rFont val="DejaVu Sans"/>
        <family val="2"/>
      </rPr>
      <t xml:space="preserve">대시보드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고급 통계</t>
    </r>
    <r>
      <rPr>
        <sz val="10"/>
        <rFont val="맑은 고딕"/>
        <family val="0"/>
        <charset val="1"/>
      </rPr>
      <t xml:space="preserve">)</t>
    </r>
  </si>
  <si>
    <t xml:space="preserve">기본 로그로 대체</t>
  </si>
  <si>
    <t xml:space="preserve">9</t>
  </si>
  <si>
    <t xml:space="preserve">웹 위젯 음성모드</t>
  </si>
  <si>
    <r>
      <rPr>
        <sz val="10"/>
        <rFont val="맑은 고딕"/>
        <family val="0"/>
        <charset val="1"/>
      </rPr>
      <t xml:space="preserve">MVP</t>
    </r>
    <r>
      <rPr>
        <sz val="10"/>
        <rFont val="DejaVu Sans"/>
        <family val="2"/>
      </rPr>
      <t xml:space="preserve">는 텍스트만</t>
    </r>
  </si>
  <si>
    <t xml:space="preserve">10</t>
  </si>
  <si>
    <t xml:space="preserve">홈페이지 자동 크롤링</t>
  </si>
  <si>
    <t xml:space="preserve">수동 업로드로 대체</t>
  </si>
  <si>
    <r>
      <rPr>
        <b val="true"/>
        <sz val="11"/>
        <color rgb="FFFF6B00"/>
        <rFont val="맑은 고딕"/>
        <family val="0"/>
        <charset val="1"/>
      </rPr>
      <t xml:space="preserve">→ MVP 5</t>
    </r>
    <r>
      <rPr>
        <b val="true"/>
        <sz val="11"/>
        <color rgb="FFFF6B00"/>
        <rFont val="DejaVu Sans"/>
        <family val="2"/>
      </rPr>
      <t xml:space="preserve">개 기능만으로도 </t>
    </r>
    <r>
      <rPr>
        <b val="true"/>
        <sz val="11"/>
        <color rgb="FFFF6B00"/>
        <rFont val="맑은 고딕"/>
        <family val="0"/>
        <charset val="1"/>
      </rPr>
      <t xml:space="preserve">"24</t>
    </r>
    <r>
      <rPr>
        <b val="true"/>
        <sz val="11"/>
        <color rgb="FFFF6B00"/>
        <rFont val="DejaVu Sans"/>
        <family val="2"/>
      </rPr>
      <t xml:space="preserve">시간 </t>
    </r>
    <r>
      <rPr>
        <b val="true"/>
        <sz val="11"/>
        <color rgb="FFFF6B00"/>
        <rFont val="맑은 고딕"/>
        <family val="0"/>
        <charset val="1"/>
      </rPr>
      <t xml:space="preserve">AI </t>
    </r>
    <r>
      <rPr>
        <b val="true"/>
        <sz val="11"/>
        <color rgb="FFFF6B00"/>
        <rFont val="DejaVu Sans"/>
        <family val="2"/>
      </rPr>
      <t xml:space="preserve">자동 응대 </t>
    </r>
    <r>
      <rPr>
        <b val="true"/>
        <sz val="11"/>
        <color rgb="FFFF6B00"/>
        <rFont val="맑은 고딕"/>
        <family val="0"/>
        <charset val="1"/>
      </rPr>
      <t xml:space="preserve">+ 70% </t>
    </r>
    <r>
      <rPr>
        <b val="true"/>
        <sz val="11"/>
        <color rgb="FFFF6B00"/>
        <rFont val="DejaVu Sans"/>
        <family val="2"/>
      </rPr>
      <t xml:space="preserve">반복문의 처리</t>
    </r>
    <r>
      <rPr>
        <b val="true"/>
        <sz val="11"/>
        <color rgb="FFFF6B00"/>
        <rFont val="맑은 고딕"/>
        <family val="0"/>
        <charset val="1"/>
      </rPr>
      <t xml:space="preserve">" </t>
    </r>
    <r>
      <rPr>
        <b val="true"/>
        <sz val="11"/>
        <color rgb="FFFF6B00"/>
        <rFont val="DejaVu Sans"/>
        <family val="2"/>
      </rPr>
      <t xml:space="preserve">핵심 목표 달성 가능</t>
    </r>
  </si>
  <si>
    <r>
      <rPr>
        <b val="true"/>
        <sz val="11"/>
        <color rgb="FF1B4332"/>
        <rFont val="맑은 고딕"/>
        <family val="0"/>
        <charset val="1"/>
      </rPr>
      <t xml:space="preserve">■ MVP </t>
    </r>
    <r>
      <rPr>
        <b val="true"/>
        <sz val="11"/>
        <color rgb="FF1B4332"/>
        <rFont val="DejaVu Sans"/>
        <family val="2"/>
      </rPr>
      <t xml:space="preserve">견적 요약</t>
    </r>
  </si>
  <si>
    <r>
      <rPr>
        <b val="true"/>
        <sz val="10"/>
        <rFont val="DejaVu Sans"/>
        <family val="2"/>
      </rPr>
      <t xml:space="preserve">개발비 </t>
    </r>
    <r>
      <rPr>
        <b val="true"/>
        <sz val="10"/>
        <rFont val="맑은 고딕"/>
        <family val="0"/>
        <charset val="1"/>
      </rPr>
      <t xml:space="preserve">(VAT </t>
    </r>
    <r>
      <rPr>
        <b val="true"/>
        <sz val="10"/>
        <rFont val="DejaVu Sans"/>
        <family val="2"/>
      </rPr>
      <t xml:space="preserve">별도</t>
    </r>
    <r>
      <rPr>
        <b val="true"/>
        <sz val="10"/>
        <rFont val="맑은 고딕"/>
        <family val="0"/>
        <charset val="1"/>
      </rPr>
      <t xml:space="preserve">)</t>
    </r>
  </si>
  <si>
    <t xml:space="preserve">만원</t>
  </si>
  <si>
    <r>
      <rPr>
        <sz val="9"/>
        <color rgb="FF666666"/>
        <rFont val="DejaVu Sans"/>
        <family val="2"/>
      </rPr>
      <t xml:space="preserve">고급</t>
    </r>
    <r>
      <rPr>
        <sz val="9"/>
        <color rgb="FF666666"/>
        <rFont val="맑은 고딕"/>
        <family val="0"/>
        <charset val="1"/>
      </rPr>
      <t xml:space="preserve">1</t>
    </r>
    <r>
      <rPr>
        <sz val="9"/>
        <color rgb="FF666666"/>
        <rFont val="DejaVu Sans"/>
        <family val="2"/>
      </rPr>
      <t xml:space="preserve">명</t>
    </r>
    <r>
      <rPr>
        <sz val="9"/>
        <color rgb="FF666666"/>
        <rFont val="맑은 고딕"/>
        <family val="0"/>
        <charset val="1"/>
      </rPr>
      <t xml:space="preserve">+</t>
    </r>
    <r>
      <rPr>
        <sz val="9"/>
        <color rgb="FF666666"/>
        <rFont val="DejaVu Sans"/>
        <family val="2"/>
      </rPr>
      <t xml:space="preserve">중급</t>
    </r>
    <r>
      <rPr>
        <sz val="9"/>
        <color rgb="FF666666"/>
        <rFont val="맑은 고딕"/>
        <family val="0"/>
        <charset val="1"/>
      </rPr>
      <t xml:space="preserve">1</t>
    </r>
    <r>
      <rPr>
        <sz val="9"/>
        <color rgb="FF666666"/>
        <rFont val="DejaVu Sans"/>
        <family val="2"/>
      </rPr>
      <t xml:space="preserve">명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약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DejaVu Sans"/>
        <family val="2"/>
      </rPr>
      <t xml:space="preserve">개월</t>
    </r>
  </si>
  <si>
    <r>
      <rPr>
        <b val="true"/>
        <sz val="10"/>
        <rFont val="DejaVu Sans"/>
        <family val="2"/>
      </rPr>
      <t xml:space="preserve">부가비용 </t>
    </r>
    <r>
      <rPr>
        <b val="true"/>
        <sz val="10"/>
        <rFont val="맑은 고딕"/>
        <family val="0"/>
        <charset val="1"/>
      </rPr>
      <t xml:space="preserve">(3</t>
    </r>
    <r>
      <rPr>
        <b val="true"/>
        <sz val="10"/>
        <rFont val="DejaVu Sans"/>
        <family val="2"/>
      </rPr>
      <t xml:space="preserve">개월 운영분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</si>
  <si>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맑은 고딕"/>
        <family val="0"/>
        <charset val="1"/>
      </rPr>
      <t xml:space="preserve">API+</t>
    </r>
    <r>
      <rPr>
        <sz val="9"/>
        <color rgb="FF666666"/>
        <rFont val="DejaVu Sans"/>
        <family val="2"/>
      </rPr>
      <t xml:space="preserve">클라우드</t>
    </r>
    <r>
      <rPr>
        <sz val="9"/>
        <color rgb="FF666666"/>
        <rFont val="맑은 고딕"/>
        <family val="0"/>
        <charset val="1"/>
      </rPr>
      <t xml:space="preserve">+</t>
    </r>
    <r>
      <rPr>
        <sz val="9"/>
        <color rgb="FF666666"/>
        <rFont val="DejaVu Sans"/>
        <family val="2"/>
      </rPr>
      <t xml:space="preserve">벡터</t>
    </r>
    <r>
      <rPr>
        <sz val="9"/>
        <color rgb="FF666666"/>
        <rFont val="맑은 고딕"/>
        <family val="0"/>
        <charset val="1"/>
      </rPr>
      <t xml:space="preserve">DB</t>
    </r>
  </si>
  <si>
    <r>
      <rPr>
        <b val="true"/>
        <sz val="10"/>
        <rFont val="DejaVu Sans"/>
        <family val="2"/>
      </rPr>
      <t xml:space="preserve">합계 </t>
    </r>
    <r>
      <rPr>
        <b val="true"/>
        <sz val="10"/>
        <rFont val="맑은 고딕"/>
        <family val="0"/>
        <charset val="1"/>
      </rPr>
      <t xml:space="preserve">(VAT </t>
    </r>
    <r>
      <rPr>
        <b val="true"/>
        <sz val="10"/>
        <rFont val="DejaVu Sans"/>
        <family val="2"/>
      </rPr>
      <t xml:space="preserve">별도</t>
    </r>
    <r>
      <rPr>
        <b val="true"/>
        <sz val="10"/>
        <rFont val="맑은 고딕"/>
        <family val="0"/>
        <charset val="1"/>
      </rPr>
      <t xml:space="preserve">)</t>
    </r>
  </si>
  <si>
    <t xml:space="preserve">VAT (10%)</t>
  </si>
  <si>
    <r>
      <rPr>
        <b val="true"/>
        <sz val="13"/>
        <color rgb="FFFFFFFF"/>
        <rFont val="DejaVu Sans"/>
        <family val="2"/>
      </rPr>
      <t xml:space="preserve">총 계약금액 </t>
    </r>
    <r>
      <rPr>
        <b val="true"/>
        <sz val="13"/>
        <color rgb="FFFFFFFF"/>
        <rFont val="맑은 고딕"/>
        <family val="0"/>
        <charset val="1"/>
      </rPr>
      <t xml:space="preserve">(VAT </t>
    </r>
    <r>
      <rPr>
        <b val="true"/>
        <sz val="13"/>
        <color rgb="FFFFFFFF"/>
        <rFont val="DejaVu Sans"/>
        <family val="2"/>
      </rPr>
      <t xml:space="preserve">포함</t>
    </r>
    <r>
      <rPr>
        <b val="true"/>
        <sz val="13"/>
        <color rgb="FFFFFFFF"/>
        <rFont val="맑은 고딕"/>
        <family val="0"/>
        <charset val="1"/>
      </rPr>
      <t xml:space="preserve">)</t>
    </r>
  </si>
  <si>
    <t xml:space="preserve">■ 기존 제안 대비 비교</t>
  </si>
  <si>
    <r>
      <rPr>
        <b val="true"/>
        <sz val="10"/>
        <rFont val="DejaVu Sans"/>
        <family val="2"/>
      </rPr>
      <t xml:space="preserve">기존 제안 </t>
    </r>
    <r>
      <rPr>
        <b val="true"/>
        <sz val="10"/>
        <rFont val="맑은 고딕"/>
        <family val="0"/>
        <charset val="1"/>
      </rPr>
      <t xml:space="preserve">(Full)</t>
    </r>
  </si>
  <si>
    <r>
      <rPr>
        <sz val="9"/>
        <color rgb="FF666666"/>
        <rFont val="맑은 고딕"/>
        <family val="0"/>
        <charset val="1"/>
      </rPr>
      <t xml:space="preserve">38</t>
    </r>
    <r>
      <rPr>
        <sz val="9"/>
        <color rgb="FF666666"/>
        <rFont val="DejaVu Sans"/>
        <family val="2"/>
      </rPr>
      <t xml:space="preserve">개 전체 기능</t>
    </r>
  </si>
  <si>
    <r>
      <rPr>
        <b val="true"/>
        <sz val="10"/>
        <rFont val="DejaVu Sans"/>
        <family val="2"/>
      </rPr>
      <t xml:space="preserve">이전 합리적 산정 </t>
    </r>
    <r>
      <rPr>
        <b val="true"/>
        <sz val="10"/>
        <rFont val="맑은 고딕"/>
        <family val="0"/>
        <charset val="1"/>
      </rPr>
      <t xml:space="preserve">(Full)</t>
    </r>
  </si>
  <si>
    <t xml:space="preserve">공수 최적화</t>
  </si>
  <si>
    <r>
      <rPr>
        <b val="true"/>
        <sz val="10"/>
        <rFont val="맑은 고딕"/>
        <family val="0"/>
        <charset val="1"/>
      </rPr>
      <t xml:space="preserve">MVP </t>
    </r>
    <r>
      <rPr>
        <b val="true"/>
        <sz val="10"/>
        <rFont val="DejaVu Sans"/>
        <family val="2"/>
      </rPr>
      <t xml:space="preserve">산정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본 견적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</si>
  <si>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핵심 </t>
    </r>
    <r>
      <rPr>
        <sz val="9"/>
        <color rgb="FF666666"/>
        <rFont val="맑은 고딕"/>
        <family val="0"/>
        <charset val="1"/>
      </rPr>
      <t xml:space="preserve">5</t>
    </r>
    <r>
      <rPr>
        <sz val="9"/>
        <color rgb="FF666666"/>
        <rFont val="DejaVu Sans"/>
        <family val="2"/>
      </rPr>
      <t xml:space="preserve">개 영역 </t>
    </r>
    <r>
      <rPr>
        <sz val="9"/>
        <color rgb="FF666666"/>
        <rFont val="맑은 고딕"/>
        <family val="0"/>
        <charset val="1"/>
      </rPr>
      <t xml:space="preserve">15</t>
    </r>
    <r>
      <rPr>
        <sz val="9"/>
        <color rgb="FF666666"/>
        <rFont val="DejaVu Sans"/>
        <family val="2"/>
      </rPr>
      <t xml:space="preserve">개 기능</t>
    </r>
  </si>
  <si>
    <r>
      <rPr>
        <b val="true"/>
        <sz val="10"/>
        <rFont val="DejaVu Sans"/>
        <family val="2"/>
      </rPr>
      <t xml:space="preserve">절감액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기존 대비</t>
    </r>
    <r>
      <rPr>
        <b val="true"/>
        <sz val="10"/>
        <rFont val="맑은 고딕"/>
        <family val="0"/>
        <charset val="1"/>
      </rPr>
      <t xml:space="preserve">)</t>
    </r>
  </si>
  <si>
    <t xml:space="preserve">절감율</t>
  </si>
  <si>
    <t xml:space="preserve">■ 오픈 후 월 운영비</t>
  </si>
  <si>
    <r>
      <rPr>
        <b val="true"/>
        <sz val="10"/>
        <rFont val="맑은 고딕"/>
        <family val="0"/>
        <charset val="1"/>
      </rPr>
      <t xml:space="preserve">LLM API (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</si>
  <si>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맑은 고딕"/>
        <family val="0"/>
        <charset val="1"/>
      </rPr>
      <t xml:space="preserve">Claude/OpenAI </t>
    </r>
    <r>
      <rPr>
        <sz val="9"/>
        <color rgb="FF666666"/>
        <rFont val="DejaVu Sans"/>
        <family val="2"/>
      </rPr>
      <t xml:space="preserve">사용량 기반</t>
    </r>
  </si>
  <si>
    <r>
      <rPr>
        <b val="true"/>
        <sz val="10"/>
        <rFont val="DejaVu Sans"/>
        <family val="2"/>
      </rPr>
      <t xml:space="preserve">클라우드 호스팅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</si>
  <si>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t xml:space="preserve">경량 인프라</t>
  </si>
  <si>
    <r>
      <rPr>
        <b val="true"/>
        <sz val="10"/>
        <rFont val="DejaVu Sans"/>
        <family val="2"/>
      </rPr>
      <t xml:space="preserve">벡터</t>
    </r>
    <r>
      <rPr>
        <b val="true"/>
        <sz val="10"/>
        <rFont val="맑은 고딕"/>
        <family val="0"/>
        <charset val="1"/>
      </rPr>
      <t xml:space="preserve">DB (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</si>
  <si>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t xml:space="preserve">Pinecone/Weaviate</t>
  </si>
  <si>
    <r>
      <rPr>
        <b val="true"/>
        <sz val="10"/>
        <rFont val="DejaVu Sans"/>
        <family val="2"/>
      </rPr>
      <t xml:space="preserve">경미한 유지보수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월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</si>
  <si>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오류수정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답변품질관리</t>
    </r>
  </si>
  <si>
    <t xml:space="preserve">월 운영비 합계</t>
  </si>
  <si>
    <t xml:space="preserve">연 운영비 합계</t>
  </si>
  <si>
    <r>
      <rPr>
        <b val="true"/>
        <sz val="11"/>
        <color rgb="FF1B4332"/>
        <rFont val="맑은 고딕"/>
        <family val="0"/>
        <charset val="1"/>
      </rPr>
      <t xml:space="preserve">■ MVP </t>
    </r>
    <r>
      <rPr>
        <b val="true"/>
        <sz val="11"/>
        <color rgb="FF1B4332"/>
        <rFont val="DejaVu Sans"/>
        <family val="2"/>
      </rPr>
      <t xml:space="preserve">개발 일정 </t>
    </r>
    <r>
      <rPr>
        <b val="true"/>
        <sz val="11"/>
        <color rgb="FF1B4332"/>
        <rFont val="맑은 고딕"/>
        <family val="0"/>
        <charset val="1"/>
      </rPr>
      <t xml:space="preserve">(</t>
    </r>
    <r>
      <rPr>
        <b val="true"/>
        <sz val="11"/>
        <color rgb="FF1B4332"/>
        <rFont val="DejaVu Sans"/>
        <family val="2"/>
      </rPr>
      <t xml:space="preserve">약 </t>
    </r>
    <r>
      <rPr>
        <b val="true"/>
        <sz val="11"/>
        <color rgb="FF1B4332"/>
        <rFont val="맑은 고딕"/>
        <family val="0"/>
        <charset val="1"/>
      </rPr>
      <t xml:space="preserve">8</t>
    </r>
    <r>
      <rPr>
        <b val="true"/>
        <sz val="11"/>
        <color rgb="FF1B4332"/>
        <rFont val="DejaVu Sans"/>
        <family val="2"/>
      </rPr>
      <t xml:space="preserve">주</t>
    </r>
    <r>
      <rPr>
        <b val="true"/>
        <sz val="11"/>
        <color rgb="FF1B4332"/>
        <rFont val="맑은 고딕"/>
        <family val="0"/>
        <charset val="1"/>
      </rPr>
      <t xml:space="preserve">)</t>
    </r>
  </si>
  <si>
    <t xml:space="preserve">Phase</t>
  </si>
  <si>
    <t xml:space="preserve">기간</t>
  </si>
  <si>
    <t xml:space="preserve">주요 산출물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</si>
  <si>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주차</t>
    </r>
  </si>
  <si>
    <r>
      <rPr>
        <sz val="10"/>
        <rFont val="DejaVu Sans"/>
        <family val="2"/>
      </rPr>
      <t xml:space="preserve">킥오프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요구분석</t>
    </r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</si>
  <si>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설계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데이터 수집</t>
    </r>
  </si>
  <si>
    <r>
      <rPr>
        <sz val="10"/>
        <rFont val="맑은 고딕"/>
        <family val="0"/>
        <charset val="1"/>
      </rPr>
      <t xml:space="preserve">2~3</t>
    </r>
    <r>
      <rPr>
        <sz val="10"/>
        <rFont val="DejaVu Sans"/>
        <family val="2"/>
      </rPr>
      <t xml:space="preserve">주차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</si>
  <si>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엔진 개발</t>
    </r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</si>
  <si>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파이프라인 </t>
    </r>
    <r>
      <rPr>
        <sz val="10"/>
        <rFont val="맑은 고딕"/>
        <family val="0"/>
        <charset val="1"/>
      </rPr>
      <t xml:space="preserve">+ LLM </t>
    </r>
    <r>
      <rPr>
        <sz val="10"/>
        <rFont val="DejaVu Sans"/>
        <family val="2"/>
      </rPr>
      <t xml:space="preserve">통합</t>
    </r>
  </si>
  <si>
    <r>
      <rPr>
        <sz val="10"/>
        <rFont val="맑은 고딕"/>
        <family val="0"/>
        <charset val="1"/>
      </rPr>
      <t xml:space="preserve">4~5</t>
    </r>
    <r>
      <rPr>
        <sz val="10"/>
        <rFont val="DejaVu Sans"/>
        <family val="2"/>
      </rPr>
      <t xml:space="preserve">주차</t>
    </r>
  </si>
  <si>
    <t xml:space="preserve">채널 연동</t>
  </si>
  <si>
    <r>
      <rPr>
        <sz val="10"/>
        <rFont val="DejaVu Sans"/>
        <family val="2"/>
      </rPr>
      <t xml:space="preserve">카카오톡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웹위젯 개발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</si>
  <si>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주차</t>
    </r>
  </si>
  <si>
    <t xml:space="preserve">관리자 페이지</t>
  </si>
  <si>
    <r>
      <rPr>
        <sz val="10"/>
        <rFont val="맑은 고딕"/>
        <family val="0"/>
        <charset val="1"/>
      </rPr>
      <t xml:space="preserve">FAQ/</t>
    </r>
    <r>
      <rPr>
        <sz val="10"/>
        <rFont val="DejaVu Sans"/>
        <family val="2"/>
      </rPr>
      <t xml:space="preserve">로그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업로드 관리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</si>
  <si>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DejaVu Sans"/>
        <family val="2"/>
      </rPr>
      <t xml:space="preserve">주차</t>
    </r>
  </si>
  <si>
    <t xml:space="preserve">통합 테스트</t>
  </si>
  <si>
    <r>
      <rPr>
        <sz val="10"/>
        <rFont val="맑은 고딕"/>
        <family val="0"/>
        <charset val="1"/>
      </rPr>
      <t xml:space="preserve">QA + </t>
    </r>
    <r>
      <rPr>
        <sz val="10"/>
        <rFont val="DejaVu Sans"/>
        <family val="2"/>
      </rPr>
      <t xml:space="preserve">답변 품질 튜닝</t>
    </r>
  </si>
  <si>
    <r>
      <rPr>
        <sz val="10"/>
        <rFont val="맑은 고딕"/>
        <family val="0"/>
        <charset val="1"/>
      </rPr>
      <t xml:space="preserve">8</t>
    </r>
    <r>
      <rPr>
        <sz val="10"/>
        <rFont val="DejaVu Sans"/>
        <family val="2"/>
      </rPr>
      <t xml:space="preserve">주차</t>
    </r>
  </si>
  <si>
    <r>
      <rPr>
        <sz val="10"/>
        <rFont val="DejaVu Sans"/>
        <family val="2"/>
      </rPr>
      <t xml:space="preserve">오픈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교육</t>
    </r>
  </si>
  <si>
    <r>
      <rPr>
        <sz val="10"/>
        <rFont val="DejaVu Sans"/>
        <family val="2"/>
      </rPr>
      <t xml:space="preserve">배포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관리자 교육</t>
    </r>
  </si>
  <si>
    <t xml:space="preserve">※ 참고사항</t>
  </si>
  <si>
    <r>
      <rPr>
        <sz val="9"/>
        <color rgb="FF666666"/>
        <rFont val="맑은 고딕"/>
        <family val="0"/>
        <charset val="1"/>
      </rPr>
      <t xml:space="preserve">• MVP</t>
    </r>
    <r>
      <rPr>
        <sz val="9"/>
        <color rgb="FF666666"/>
        <rFont val="DejaVu Sans"/>
        <family val="2"/>
      </rPr>
      <t xml:space="preserve">는 핵심 가치</t>
    </r>
    <r>
      <rPr>
        <sz val="9"/>
        <color rgb="FF666666"/>
        <rFont val="맑은 고딕"/>
        <family val="0"/>
        <charset val="1"/>
      </rPr>
      <t xml:space="preserve">(24</t>
    </r>
    <r>
      <rPr>
        <sz val="9"/>
        <color rgb="FF666666"/>
        <rFont val="DejaVu Sans"/>
        <family val="2"/>
      </rPr>
      <t xml:space="preserve">시간 </t>
    </r>
    <r>
      <rPr>
        <sz val="9"/>
        <color rgb="FF666666"/>
        <rFont val="맑은 고딕"/>
        <family val="0"/>
        <charset val="1"/>
      </rPr>
      <t xml:space="preserve">AI </t>
    </r>
    <r>
      <rPr>
        <sz val="9"/>
        <color rgb="FF666666"/>
        <rFont val="DejaVu Sans"/>
        <family val="2"/>
      </rPr>
      <t xml:space="preserve">응대</t>
    </r>
    <r>
      <rPr>
        <sz val="9"/>
        <color rgb="FF666666"/>
        <rFont val="맑은 고딕"/>
        <family val="0"/>
        <charset val="1"/>
      </rPr>
      <t xml:space="preserve">)</t>
    </r>
    <r>
      <rPr>
        <sz val="9"/>
        <color rgb="FF666666"/>
        <rFont val="DejaVu Sans"/>
        <family val="2"/>
      </rPr>
      <t xml:space="preserve">를 최소 비용으로 검증하는 전략입니다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</si>
  <si>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DejaVu Sans"/>
        <family val="2"/>
      </rPr>
      <t xml:space="preserve">• 오픈 후 성과 데이터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응답률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전환율</t>
    </r>
    <r>
      <rPr>
        <sz val="9"/>
        <color rgb="FF666666"/>
        <rFont val="맑은 고딕"/>
        <family val="0"/>
        <charset val="1"/>
      </rPr>
      <t xml:space="preserve">)</t>
    </r>
    <r>
      <rPr>
        <sz val="9"/>
        <color rgb="FF666666"/>
        <rFont val="DejaVu Sans"/>
        <family val="2"/>
      </rPr>
      <t xml:space="preserve">를 확인한 뒤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DejaVu Sans"/>
        <family val="2"/>
      </rPr>
      <t xml:space="preserve">차 확장</t>
    </r>
    <r>
      <rPr>
        <sz val="9"/>
        <color rgb="FF666666"/>
        <rFont val="맑은 고딕"/>
        <family val="0"/>
        <charset val="1"/>
      </rPr>
      <t xml:space="preserve">(</t>
    </r>
    <r>
      <rPr>
        <sz val="9"/>
        <color rgb="FF666666"/>
        <rFont val="DejaVu Sans"/>
        <family val="2"/>
      </rPr>
      <t xml:space="preserve">음성</t>
    </r>
    <r>
      <rPr>
        <sz val="9"/>
        <color rgb="FF666666"/>
        <rFont val="맑은 고딕"/>
        <family val="0"/>
        <charset val="1"/>
      </rPr>
      <t xml:space="preserve">AI, </t>
    </r>
    <r>
      <rPr>
        <sz val="9"/>
        <color rgb="FF666666"/>
        <rFont val="DejaVu Sans"/>
        <family val="2"/>
      </rPr>
      <t xml:space="preserve">직원챗봇 등</t>
    </r>
    <r>
      <rPr>
        <sz val="9"/>
        <color rgb="FF666666"/>
        <rFont val="맑은 고딕"/>
        <family val="0"/>
        <charset val="1"/>
      </rPr>
      <t xml:space="preserve">)</t>
    </r>
    <r>
      <rPr>
        <sz val="9"/>
        <color rgb="FF666666"/>
        <rFont val="DejaVu Sans"/>
        <family val="2"/>
      </rPr>
      <t xml:space="preserve">을 결정합니다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</si>
  <si>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맑은 고딕"/>
        <family val="0"/>
        <charset val="1"/>
      </rPr>
      <t xml:space="preserve">• LangChain/LlamaIndex </t>
    </r>
    <r>
      <rPr>
        <sz val="9"/>
        <color rgb="FF666666"/>
        <rFont val="DejaVu Sans"/>
        <family val="2"/>
      </rPr>
      <t xml:space="preserve">등 오픈소스 프레임워크를 최대 활용하여 개발 공수를 절감합니다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</si>
  <si>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맑은 고딕"/>
        <family val="0"/>
        <charset val="1"/>
      </rPr>
      <t xml:space="preserve">• SaaS </t>
    </r>
    <r>
      <rPr>
        <sz val="9"/>
        <color rgb="FF666666"/>
        <rFont val="DejaVu Sans"/>
        <family val="2"/>
      </rPr>
      <t xml:space="preserve">인프라</t>
    </r>
    <r>
      <rPr>
        <sz val="9"/>
        <color rgb="FF666666"/>
        <rFont val="맑은 고딕"/>
        <family val="0"/>
        <charset val="1"/>
      </rPr>
      <t xml:space="preserve">(Vercel, Supabase, Pinecone)</t>
    </r>
    <r>
      <rPr>
        <sz val="9"/>
        <color rgb="FF666666"/>
        <rFont val="DejaVu Sans"/>
        <family val="2"/>
      </rPr>
      <t xml:space="preserve">를 활용해 인프라 구축 비용을 최소화합니다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</si>
  <si>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sz val="9"/>
        <color rgb="FF666666"/>
        <rFont val="DejaVu Sans"/>
        <family val="2"/>
      </rPr>
      <t xml:space="preserve">• 하자보수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DejaVu Sans"/>
        <family val="2"/>
      </rPr>
      <t xml:space="preserve">개월 무상 포함</t>
    </r>
    <r>
      <rPr>
        <sz val="9"/>
        <color rgb="FF666666"/>
        <rFont val="맑은 고딕"/>
        <family val="0"/>
        <charset val="1"/>
      </rPr>
      <t xml:space="preserve">. </t>
    </r>
    <r>
      <rPr>
        <sz val="9"/>
        <color rgb="FF666666"/>
        <rFont val="DejaVu Sans"/>
        <family val="2"/>
      </rPr>
      <t xml:space="preserve">이후 월 </t>
    </r>
    <r>
      <rPr>
        <sz val="9"/>
        <color rgb="FF666666"/>
        <rFont val="맑은 고딕"/>
        <family val="0"/>
        <charset val="1"/>
      </rPr>
      <t xml:space="preserve">105</t>
    </r>
    <r>
      <rPr>
        <sz val="9"/>
        <color rgb="FF666666"/>
        <rFont val="DejaVu Sans"/>
        <family val="2"/>
      </rPr>
      <t xml:space="preserve">만원 수준의 운영비가 발생합니다</t>
    </r>
    <r>
      <rPr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</si>
  <si>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6"/>
        <color rgb="FFFFFFFF"/>
        <rFont val="맑은 고딕"/>
        <family val="0"/>
        <charset val="1"/>
      </rPr>
      <t xml:space="preserve">MVP </t>
    </r>
    <r>
      <rPr>
        <b val="true"/>
        <sz val="16"/>
        <color rgb="FFFFFFFF"/>
        <rFont val="DejaVu Sans"/>
        <family val="2"/>
      </rPr>
      <t xml:space="preserve">상세 공수 산정 </t>
    </r>
    <r>
      <rPr>
        <b val="true"/>
        <sz val="16"/>
        <color rgb="FFFFFFFF"/>
        <rFont val="맑은 고딕"/>
        <family val="0"/>
        <charset val="1"/>
      </rPr>
      <t xml:space="preserve">(1</t>
    </r>
    <r>
      <rPr>
        <b val="true"/>
        <sz val="16"/>
        <color rgb="FFFFFFFF"/>
        <rFont val="DejaVu Sans"/>
        <family val="2"/>
      </rPr>
      <t xml:space="preserve">천만원 미만</t>
    </r>
    <r>
      <rPr>
        <b val="true"/>
        <sz val="16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</si>
  <si>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1B4332"/>
        <rFont val="DejaVu Sans"/>
        <family val="2"/>
      </rPr>
      <t xml:space="preserve">■ 적용 단가 </t>
    </r>
    <r>
      <rPr>
        <b val="true"/>
        <sz val="11"/>
        <color rgb="FF1B4332"/>
        <rFont val="맑은 고딕"/>
        <family val="0"/>
        <charset val="1"/>
      </rPr>
      <t xml:space="preserve">(2025</t>
    </r>
    <r>
      <rPr>
        <b val="true"/>
        <sz val="11"/>
        <color rgb="FF1B4332"/>
        <rFont val="DejaVu Sans"/>
        <family val="2"/>
      </rPr>
      <t xml:space="preserve">년 </t>
    </r>
    <r>
      <rPr>
        <b val="true"/>
        <sz val="11"/>
        <color rgb="FF1B4332"/>
        <rFont val="맑은 고딕"/>
        <family val="0"/>
        <charset val="1"/>
      </rPr>
      <t xml:space="preserve">SW</t>
    </r>
    <r>
      <rPr>
        <b val="true"/>
        <sz val="11"/>
        <color rgb="FF1B4332"/>
        <rFont val="DejaVu Sans"/>
        <family val="2"/>
      </rPr>
      <t xml:space="preserve">기술자 평균임금 기준</t>
    </r>
    <r>
      <rPr>
        <b val="true"/>
        <sz val="11"/>
        <color rgb="FF1B4332"/>
        <rFont val="맑은 고딕"/>
        <family val="0"/>
        <charset val="1"/>
      </rPr>
      <t xml:space="preserve">)</t>
    </r>
  </si>
  <si>
    <t xml:space="preserve">등급</t>
  </si>
  <si>
    <r>
      <rPr>
        <b val="true"/>
        <sz val="11"/>
        <color rgb="FFFFFFFF"/>
        <rFont val="DejaVu Sans"/>
        <family val="2"/>
      </rPr>
      <t xml:space="preserve">월단가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만원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</si>
  <si>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일단가</t>
  </si>
  <si>
    <t xml:space="preserve">투입</t>
  </si>
  <si>
    <t xml:space="preserve">역할</t>
  </si>
  <si>
    <t xml:space="preserve">고급기술자</t>
  </si>
  <si>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명</t>
    </r>
  </si>
  <si>
    <r>
      <rPr>
        <sz val="10"/>
        <rFont val="맑은 고딕"/>
        <family val="0"/>
        <charset val="1"/>
      </rPr>
      <t xml:space="preserve">AI</t>
    </r>
    <r>
      <rPr>
        <sz val="10"/>
        <rFont val="DejaVu Sans"/>
        <family val="2"/>
      </rPr>
      <t xml:space="preserve">엔지니어 </t>
    </r>
    <r>
      <rPr>
        <sz val="10"/>
        <rFont val="맑은 고딕"/>
        <family val="0"/>
        <charset val="1"/>
      </rPr>
      <t xml:space="preserve">(RAG+</t>
    </r>
    <r>
      <rPr>
        <sz val="10"/>
        <rFont val="DejaVu Sans"/>
        <family val="2"/>
      </rPr>
      <t xml:space="preserve">백엔드</t>
    </r>
    <r>
      <rPr>
        <sz val="10"/>
        <rFont val="맑은 고딕"/>
        <family val="0"/>
        <charset val="1"/>
      </rPr>
      <t xml:space="preserve">)</t>
    </r>
  </si>
  <si>
    <t xml:space="preserve">중급기술자</t>
  </si>
  <si>
    <r>
      <rPr>
        <sz val="10"/>
        <rFont val="DejaVu Sans"/>
        <family val="2"/>
      </rPr>
      <t xml:space="preserve">프론트엔드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카카오 연동</t>
    </r>
  </si>
  <si>
    <t xml:space="preserve">■ 기능별 공수 산정</t>
  </si>
  <si>
    <t xml:space="preserve">No</t>
  </si>
  <si>
    <t xml:space="preserve">영역</t>
  </si>
  <si>
    <t xml:space="preserve">세부 기능</t>
  </si>
  <si>
    <r>
      <rPr>
        <b val="true"/>
        <sz val="11"/>
        <color rgb="FFFFFFFF"/>
        <rFont val="DejaVu Sans"/>
        <family val="2"/>
      </rPr>
      <t xml:space="preserve">공수</t>
    </r>
    <r>
      <rPr>
        <b val="true"/>
        <sz val="11"/>
        <color rgb="FFFFFFFF"/>
        <rFont val="맑은 고딕"/>
        <family val="0"/>
        <charset val="1"/>
      </rPr>
      <t xml:space="preserve">
(M/M)</t>
    </r>
  </si>
  <si>
    <r>
      <rPr>
        <b val="true"/>
        <sz val="11"/>
        <color rgb="FFFFFFFF"/>
        <rFont val="DejaVu Sans"/>
        <family val="2"/>
      </rPr>
      <t xml:space="preserve">금액</t>
    </r>
    <r>
      <rPr>
        <b val="true"/>
        <sz val="11"/>
        <color rgb="FFFFFFFF"/>
        <rFont val="맑은 고딕"/>
        <family val="0"/>
        <charset val="1"/>
      </rPr>
      <t xml:space="preserve">
(</t>
    </r>
    <r>
      <rPr>
        <b val="true"/>
        <sz val="11"/>
        <color rgb="FFFFFFFF"/>
        <rFont val="DejaVu Sans"/>
        <family val="2"/>
      </rPr>
      <t xml:space="preserve">만원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</si>
  <si>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카카오톡
</t>
    </r>
    <r>
      <rPr>
        <b val="true"/>
        <sz val="10"/>
        <rFont val="맑은 고딕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챗봇</t>
    </r>
  </si>
  <si>
    <r>
      <rPr>
        <sz val="10"/>
        <rFont val="DejaVu Sans"/>
        <family val="2"/>
      </rPr>
      <t xml:space="preserve">카카오 채널 </t>
    </r>
    <r>
      <rPr>
        <sz val="10"/>
        <rFont val="맑은 고딕"/>
        <family val="0"/>
        <charset val="1"/>
      </rPr>
      <t xml:space="preserve">API </t>
    </r>
    <r>
      <rPr>
        <sz val="10"/>
        <rFont val="DejaVu Sans"/>
        <family val="2"/>
      </rPr>
      <t xml:space="preserve">연동</t>
    </r>
  </si>
  <si>
    <t xml:space="preserve">중급</t>
  </si>
  <si>
    <t xml:space="preserve">오픈빌더 활용</t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</si>
  <si>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기반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대화 엔진</t>
    </r>
  </si>
  <si>
    <t xml:space="preserve">고급</t>
  </si>
  <si>
    <t xml:space="preserve">LangChain + LLM API</t>
  </si>
  <si>
    <r>
      <rPr>
        <sz val="10"/>
        <rFont val="DejaVu Sans"/>
        <family val="2"/>
      </rPr>
      <t xml:space="preserve">프로그램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가격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매장 응답 시나리오</t>
    </r>
  </si>
  <si>
    <t xml:space="preserve">프롬프트 설계</t>
  </si>
  <si>
    <r>
      <rPr>
        <sz val="10"/>
        <rFont val="DejaVu Sans"/>
        <family val="2"/>
      </rPr>
      <t xml:space="preserve">버튼형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카드형 응답 포맷</t>
    </r>
  </si>
  <si>
    <t xml:space="preserve">카카오 메시지 규격</t>
  </si>
  <si>
    <t xml:space="preserve">홈페이지
웹 위젯</t>
  </si>
  <si>
    <r>
      <rPr>
        <sz val="10"/>
        <rFont val="DejaVu Sans"/>
        <family val="2"/>
      </rPr>
      <t xml:space="preserve">팝업 채팅 위젯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텍스트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</si>
  <si>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DejaVu Sans"/>
        <family val="2"/>
      </rPr>
      <t xml:space="preserve">오픈소스 </t>
    </r>
    <r>
      <rPr>
        <sz val="9"/>
        <color rgb="FF666666"/>
        <rFont val="맑은 고딕"/>
        <family val="0"/>
        <charset val="1"/>
      </rPr>
      <t xml:space="preserve">UI </t>
    </r>
    <r>
      <rPr>
        <sz val="9"/>
        <color rgb="FF666666"/>
        <rFont val="DejaVu Sans"/>
        <family val="2"/>
      </rPr>
      <t xml:space="preserve">활용</t>
    </r>
  </si>
  <si>
    <r>
      <rPr>
        <sz val="10"/>
        <rFont val="DejaVu Sans"/>
        <family val="2"/>
      </rPr>
      <t xml:space="preserve">카카오톡과 동일 </t>
    </r>
    <r>
      <rPr>
        <sz val="10"/>
        <rFont val="맑은 고딕"/>
        <family val="0"/>
        <charset val="1"/>
      </rPr>
      <t xml:space="preserve">AI </t>
    </r>
    <r>
      <rPr>
        <sz val="10"/>
        <rFont val="DejaVu Sans"/>
        <family val="2"/>
      </rPr>
      <t xml:space="preserve">엔진 연동</t>
    </r>
  </si>
  <si>
    <t xml:space="preserve">백엔드 공유</t>
  </si>
  <si>
    <r>
      <rPr>
        <b val="true"/>
        <sz val="10"/>
        <rFont val="맑은 고딕"/>
        <family val="0"/>
        <charset val="1"/>
      </rPr>
      <t xml:space="preserve">AI </t>
    </r>
    <r>
      <rPr>
        <b val="true"/>
        <sz val="10"/>
        <rFont val="DejaVu Sans"/>
        <family val="2"/>
      </rPr>
      <t xml:space="preserve">지식
관리</t>
    </r>
  </si>
  <si>
    <r>
      <rPr>
        <sz val="10"/>
        <rFont val="DejaVu Sans"/>
        <family val="2"/>
      </rPr>
      <t xml:space="preserve">파일 업로드 → 벡터</t>
    </r>
    <r>
      <rPr>
        <sz val="10"/>
        <rFont val="맑은 고딕"/>
        <family val="0"/>
        <charset val="1"/>
      </rPr>
      <t xml:space="preserve">DB </t>
    </r>
    <r>
      <rPr>
        <sz val="10"/>
        <rFont val="DejaVu Sans"/>
        <family val="2"/>
      </rPr>
      <t xml:space="preserve">저장</t>
    </r>
  </si>
  <si>
    <t xml:space="preserve">LlamaIndex + Pinecone</t>
  </si>
  <si>
    <r>
      <rPr>
        <sz val="10"/>
        <rFont val="맑은 고딕"/>
        <family val="0"/>
        <charset val="1"/>
      </rPr>
      <t xml:space="preserve">RAG </t>
    </r>
    <r>
      <rPr>
        <sz val="10"/>
        <rFont val="DejaVu Sans"/>
        <family val="2"/>
      </rPr>
      <t xml:space="preserve">검색 파이프라인</t>
    </r>
  </si>
  <si>
    <r>
      <rPr>
        <sz val="9"/>
        <color rgb="FF666666"/>
        <rFont val="DejaVu Sans"/>
        <family val="2"/>
      </rPr>
      <t xml:space="preserve">이미 </t>
    </r>
    <r>
      <rPr>
        <sz val="9"/>
        <color rgb="FF666666"/>
        <rFont val="맑은 고딕"/>
        <family val="0"/>
        <charset val="1"/>
      </rPr>
      <t xml:space="preserve">2</t>
    </r>
    <r>
      <rPr>
        <sz val="9"/>
        <color rgb="FF666666"/>
        <rFont val="DejaVu Sans"/>
        <family val="2"/>
      </rPr>
      <t xml:space="preserve">번에 포함</t>
    </r>
    <r>
      <rPr>
        <sz val="9"/>
        <color rgb="FF666666"/>
        <rFont val="맑은 고딕"/>
        <family val="0"/>
        <charset val="1"/>
      </rPr>
      <t xml:space="preserve">, </t>
    </r>
    <r>
      <rPr>
        <sz val="9"/>
        <color rgb="FF666666"/>
        <rFont val="DejaVu Sans"/>
        <family val="2"/>
      </rPr>
      <t xml:space="preserve">고도화</t>
    </r>
  </si>
  <si>
    <t xml:space="preserve">관리자
페이지</t>
  </si>
  <si>
    <r>
      <rPr>
        <sz val="10"/>
        <rFont val="맑은 고딕"/>
        <family val="0"/>
        <charset val="1"/>
      </rPr>
      <t xml:space="preserve">FAQ </t>
    </r>
    <r>
      <rPr>
        <sz val="10"/>
        <rFont val="DejaVu Sans"/>
        <family val="2"/>
      </rPr>
      <t xml:space="preserve">등록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수정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삭제</t>
    </r>
  </si>
  <si>
    <r>
      <rPr>
        <sz val="9"/>
        <color rgb="FF666666"/>
        <rFont val="DejaVu Sans"/>
        <family val="2"/>
      </rPr>
      <t xml:space="preserve">간단 </t>
    </r>
    <r>
      <rPr>
        <sz val="9"/>
        <color rgb="FF666666"/>
        <rFont val="맑은 고딕"/>
        <family val="0"/>
        <charset val="1"/>
      </rPr>
      <t xml:space="preserve">CRUD</t>
    </r>
  </si>
  <si>
    <t xml:space="preserve">대화 로그 조회</t>
  </si>
  <si>
    <t xml:space="preserve">기본 리스트</t>
  </si>
  <si>
    <t xml:space="preserve">파일 업로드 관리</t>
  </si>
  <si>
    <t xml:space="preserve">드래그앤드롭</t>
  </si>
  <si>
    <r>
      <rPr>
        <b val="true"/>
        <sz val="10"/>
        <rFont val="DejaVu Sans"/>
        <family val="2"/>
      </rPr>
      <t xml:space="preserve">공통</t>
    </r>
    <r>
      <rPr>
        <b val="true"/>
        <sz val="10"/>
        <rFont val="맑은 고딕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인프라</t>
    </r>
  </si>
  <si>
    <r>
      <rPr>
        <sz val="10"/>
        <rFont val="DejaVu Sans"/>
        <family val="2"/>
      </rPr>
      <t xml:space="preserve">클라우드 인프라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경량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</si>
  <si>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맑은 고딕"/>
        <family val="0"/>
        <charset val="1"/>
      </rPr>
      <t xml:space="preserve">Vercel+Supabase </t>
    </r>
    <r>
      <rPr>
        <sz val="9"/>
        <color rgb="FF666666"/>
        <rFont val="DejaVu Sans"/>
        <family val="2"/>
      </rPr>
      <t xml:space="preserve">등</t>
    </r>
  </si>
  <si>
    <t xml:space="preserve">개인정보 기본 마스킹</t>
  </si>
  <si>
    <t xml:space="preserve">정규식 기반</t>
  </si>
  <si>
    <t xml:space="preserve">테스트 및 배포</t>
  </si>
  <si>
    <r>
      <rPr>
        <sz val="10"/>
        <rFont val="맑은 고딕"/>
        <family val="0"/>
        <charset val="1"/>
      </rPr>
      <t xml:space="preserve">PM </t>
    </r>
    <r>
      <rPr>
        <sz val="10"/>
        <rFont val="DejaVu Sans"/>
        <family val="2"/>
      </rPr>
      <t xml:space="preserve">및 교육</t>
    </r>
  </si>
  <si>
    <t xml:space="preserve">관리자 교육 포함</t>
  </si>
  <si>
    <t xml:space="preserve">개발비 소계</t>
  </si>
  <si>
    <r>
      <rPr>
        <b val="true"/>
        <sz val="11"/>
        <color rgb="FF1B4332"/>
        <rFont val="DejaVu Sans"/>
        <family val="2"/>
      </rPr>
      <t xml:space="preserve">■ 부가 비용 </t>
    </r>
    <r>
      <rPr>
        <b val="true"/>
        <sz val="11"/>
        <color rgb="FF1B4332"/>
        <rFont val="맑은 고딕"/>
        <family val="0"/>
        <charset val="1"/>
      </rPr>
      <t xml:space="preserve">(3</t>
    </r>
    <r>
      <rPr>
        <b val="true"/>
        <sz val="11"/>
        <color rgb="FF1B4332"/>
        <rFont val="DejaVu Sans"/>
        <family val="2"/>
      </rPr>
      <t xml:space="preserve">개월 운영분 포함</t>
    </r>
    <r>
      <rPr>
        <b val="true"/>
        <sz val="11"/>
        <color rgb="FF1B4332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</si>
  <si>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LLM API </t>
    </r>
    <r>
      <rPr>
        <sz val="10"/>
        <rFont val="DejaVu Sans"/>
        <family val="2"/>
      </rPr>
      <t xml:space="preserve">비용 </t>
    </r>
    <r>
      <rPr>
        <sz val="10"/>
        <rFont val="맑은 고딕"/>
        <family val="0"/>
        <charset val="1"/>
      </rPr>
      <t xml:space="preserve">(3</t>
    </r>
    <r>
      <rPr>
        <sz val="10"/>
        <rFont val="DejaVu Sans"/>
        <family val="2"/>
      </rPr>
      <t xml:space="preserve">개월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</si>
  <si>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666666"/>
        <rFont val="맑은 고딕"/>
        <family val="0"/>
        <charset val="1"/>
      </rPr>
      <t xml:space="preserve">Claude/OpenAI API (</t>
    </r>
    <r>
      <rPr>
        <sz val="9"/>
        <color rgb="FF666666"/>
        <rFont val="DejaVu Sans"/>
        <family val="2"/>
      </rPr>
      <t xml:space="preserve">월</t>
    </r>
    <r>
      <rPr>
        <sz val="9"/>
        <color rgb="FF666666"/>
        <rFont val="맑은 고딕"/>
        <family val="0"/>
        <charset val="1"/>
      </rPr>
      <t xml:space="preserve">30</t>
    </r>
    <r>
      <rPr>
        <sz val="9"/>
        <color rgb="FF666666"/>
        <rFont val="DejaVu Sans"/>
        <family val="2"/>
      </rPr>
      <t xml:space="preserve">만 추정</t>
    </r>
    <r>
      <rPr>
        <sz val="9"/>
        <color rgb="FF666666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</si>
  <si>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클라우드 호스팅 </t>
    </r>
    <r>
      <rPr>
        <sz val="10"/>
        <rFont val="맑은 고딕"/>
        <family val="0"/>
        <charset val="1"/>
      </rPr>
      <t xml:space="preserve">(3</t>
    </r>
    <r>
      <rPr>
        <sz val="10"/>
        <rFont val="DejaVu Sans"/>
        <family val="2"/>
      </rPr>
      <t xml:space="preserve">개월</t>
    </r>
    <r>
      <rPr>
        <sz val="10"/>
        <rFont val="맑은 고딕"/>
        <family val="0"/>
        <charset val="1"/>
      </rPr>
      <t xml:space="preserve">)</t>
    </r>
  </si>
  <si>
    <t xml:space="preserve">Vercel Pro + Supabase Pro</t>
  </si>
  <si>
    <r>
      <rPr>
        <sz val="10"/>
        <rFont val="DejaVu Sans"/>
        <family val="2"/>
      </rPr>
      <t xml:space="preserve">벡터</t>
    </r>
    <r>
      <rPr>
        <sz val="10"/>
        <rFont val="맑은 고딕"/>
        <family val="0"/>
        <charset val="1"/>
      </rPr>
      <t xml:space="preserve">DB </t>
    </r>
    <r>
      <rPr>
        <sz val="10"/>
        <rFont val="DejaVu Sans"/>
        <family val="2"/>
      </rPr>
      <t xml:space="preserve">서비스 </t>
    </r>
    <r>
      <rPr>
        <sz val="10"/>
        <rFont val="맑은 고딕"/>
        <family val="0"/>
        <charset val="1"/>
      </rPr>
      <t xml:space="preserve">(3</t>
    </r>
    <r>
      <rPr>
        <sz val="10"/>
        <rFont val="DejaVu Sans"/>
        <family val="2"/>
      </rPr>
      <t xml:space="preserve">개월</t>
    </r>
    <r>
      <rPr>
        <sz val="10"/>
        <rFont val="맑은 고딕"/>
        <family val="0"/>
        <charset val="1"/>
      </rPr>
      <t xml:space="preserve">)</t>
    </r>
  </si>
  <si>
    <t xml:space="preserve">Pinecone Starter</t>
  </si>
  <si>
    <t xml:space="preserve">부가비용 소계</t>
  </si>
  <si>
    <t xml:space="preserve">■ 최종 합계</t>
  </si>
  <si>
    <r>
      <rPr>
        <b val="true"/>
        <sz val="11"/>
        <rFont val="DejaVu Sans"/>
        <family val="2"/>
      </rPr>
      <t xml:space="preserve">개발비 </t>
    </r>
    <r>
      <rPr>
        <b val="true"/>
        <sz val="11"/>
        <rFont val="맑은 고딕"/>
        <family val="0"/>
        <charset val="1"/>
      </rPr>
      <t xml:space="preserve">(A)</t>
    </r>
  </si>
  <si>
    <r>
      <rPr>
        <b val="true"/>
        <sz val="11"/>
        <rFont val="DejaVu Sans"/>
        <family val="2"/>
      </rPr>
      <t xml:space="preserve">부가비용 </t>
    </r>
    <r>
      <rPr>
        <b val="true"/>
        <sz val="11"/>
        <rFont val="맑은 고딕"/>
        <family val="0"/>
        <charset val="1"/>
      </rPr>
      <t xml:space="preserve">(B)</t>
    </r>
  </si>
  <si>
    <r>
      <rPr>
        <b val="true"/>
        <sz val="11"/>
        <rFont val="DejaVu Sans"/>
        <family val="2"/>
      </rPr>
      <t xml:space="preserve">합계 </t>
    </r>
    <r>
      <rPr>
        <b val="true"/>
        <sz val="11"/>
        <rFont val="맑은 고딕"/>
        <family val="0"/>
        <charset val="1"/>
      </rPr>
      <t xml:space="preserve">(A+B, VAT </t>
    </r>
    <r>
      <rPr>
        <b val="true"/>
        <sz val="11"/>
        <rFont val="DejaVu Sans"/>
        <family val="2"/>
      </rPr>
      <t xml:space="preserve">별도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</si>
  <si>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4"/>
        <color rgb="FFFFFFFF"/>
        <rFont val="DejaVu Sans"/>
        <family val="2"/>
      </rPr>
      <t xml:space="preserve">총 계약금액 </t>
    </r>
    <r>
      <rPr>
        <b val="true"/>
        <sz val="14"/>
        <color rgb="FFFFFFFF"/>
        <rFont val="맑은 고딕"/>
        <family val="0"/>
        <charset val="1"/>
      </rPr>
      <t xml:space="preserve">(VAT </t>
    </r>
    <r>
      <rPr>
        <b val="true"/>
        <sz val="14"/>
        <color rgb="FFFFFFFF"/>
        <rFont val="DejaVu Sans"/>
        <family val="2"/>
      </rPr>
      <t xml:space="preserve">포함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</si>
  <si>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0000"/>
        <rFont val="맑은 고딕"/>
        <family val="0"/>
        <charset val="1"/>
      </rPr>
      <t xml:space="preserve">※ 1</t>
    </r>
    <r>
      <rPr>
        <b val="true"/>
        <sz val="11"/>
        <color rgb="FFFF0000"/>
        <rFont val="DejaVu Sans"/>
        <family val="2"/>
      </rPr>
      <t xml:space="preserve">천만원 미만 체크</t>
    </r>
    <r>
      <rPr>
        <b val="true"/>
        <sz val="11"/>
        <color rgb="FFFF0000"/>
        <rFont val="맑은 고딕"/>
        <family val="0"/>
        <charset val="1"/>
      </rPr>
      <t xml:space="preserve">: VAT </t>
    </r>
    <r>
      <rPr>
        <b val="true"/>
        <sz val="11"/>
        <color rgb="FFFF0000"/>
        <rFont val="DejaVu Sans"/>
        <family val="2"/>
      </rPr>
      <t xml:space="preserve">별도 기준</t>
    </r>
  </si>
  <si>
    <r>
      <rPr>
        <b val="true"/>
        <sz val="10"/>
        <rFont val="맑은 고딕"/>
        <family val="0"/>
        <charset val="1"/>
      </rPr>
      <t xml:space="preserve">VAT </t>
    </r>
    <r>
      <rPr>
        <b val="true"/>
        <sz val="10"/>
        <rFont val="DejaVu Sans"/>
        <family val="2"/>
      </rPr>
      <t xml:space="preserve">별도 금액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</si>
</sst>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b val="true"/>
      <sz val="16"/>
      <color rgb="FFFFFFFF"/>
      <name val="맑은 고딕"/>
      <family val="0"/>
      <charset val="1"/>
    </font>
    <font>
      <sz val="9"/>
      <color rgb="FF666666"/>
      <name val="DejaVu Sans"/>
      <family val="2"/>
    </font>
    <font>
      <sz val="9"/>
      <color rgb="FF666666"/>
      <name val="맑은 고딕"/>
      <family val="0"/>
      <charset val="1"/>
    </font>
    <font>
      <b val="true"/>
      <sz val="11"/>
      <color rgb="FF1B4332"/>
      <name val="맑은 고딕"/>
      <family val="0"/>
      <charset val="1"/>
    </font>
    <font>
      <b val="true"/>
      <sz val="11"/>
      <color rgb="FF1B4332"/>
      <name val="DejaVu Sans"/>
      <family val="2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DejaVu Sans"/>
      <family val="2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0"/>
      <color rgb="FF2D6A4F"/>
      <name val="DejaVu Sans"/>
      <family val="2"/>
    </font>
    <font>
      <sz val="10"/>
      <color rgb="FF999999"/>
      <name val="DejaVu Sans"/>
      <family val="2"/>
    </font>
    <font>
      <b val="true"/>
      <sz val="11"/>
      <color rgb="FFFF6B00"/>
      <name val="맑은 고딕"/>
      <family val="0"/>
      <charset val="1"/>
    </font>
    <font>
      <b val="true"/>
      <sz val="11"/>
      <color rgb="FFFF6B00"/>
      <name val="DejaVu Sans"/>
      <family val="2"/>
    </font>
    <font>
      <b val="true"/>
      <sz val="10"/>
      <name val="DejaVu Sans"/>
      <family val="2"/>
    </font>
    <font>
      <b val="true"/>
      <sz val="10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3"/>
      <color rgb="FFFFFFFF"/>
      <name val="DejaVu Sans"/>
      <family val="2"/>
    </font>
    <font>
      <b val="true"/>
      <sz val="13"/>
      <color rgb="FFFFFFFF"/>
      <name val="맑은 고딕"/>
      <family val="0"/>
      <charset val="1"/>
    </font>
    <font>
      <sz val="10"/>
      <color rgb="FF0000FF"/>
      <name val="맑은 고딕"/>
      <family val="0"/>
      <charset val="1"/>
    </font>
    <font>
      <b val="true"/>
      <sz val="11"/>
      <color rgb="FF2D6A4F"/>
      <name val="맑은 고딕"/>
      <family val="0"/>
      <charset val="1"/>
    </font>
    <font>
      <b val="true"/>
      <sz val="10"/>
      <color rgb="FFFF0000"/>
      <name val="맑은 고딕"/>
      <family val="0"/>
      <charset val="1"/>
    </font>
    <font>
      <b val="true"/>
      <sz val="11"/>
      <name val="DejaVu Sans"/>
      <family val="2"/>
    </font>
    <font>
      <b val="true"/>
      <sz val="14"/>
      <color rgb="FFFFFFFF"/>
      <name val="DejaVu Sans"/>
      <family val="2"/>
    </font>
    <font>
      <b val="true"/>
      <sz val="14"/>
      <color rgb="FFFFFFFF"/>
      <name val="맑은 고딕"/>
      <family val="0"/>
      <charset val="1"/>
    </font>
    <font>
      <b val="true"/>
      <sz val="11"/>
      <color rgb="FFFF0000"/>
      <name val="맑은 고딕"/>
      <family val="0"/>
      <charset val="1"/>
    </font>
    <font>
      <b val="true"/>
      <sz val="11"/>
      <color rgb="FFFF0000"/>
      <name val="DejaVu Sans"/>
      <family val="2"/>
    </font>
    <font>
      <b val="true"/>
      <sz val="12"/>
      <color rgb="FFFF0000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D6A4F"/>
        <bgColor rgb="FF666666"/>
      </patternFill>
    </fill>
    <fill>
      <patternFill patternType="solid">
        <fgColor rgb="FFE8F5EE"/>
        <bgColor rgb="FFFFF8F0"/>
      </patternFill>
    </fill>
    <fill>
      <patternFill patternType="solid">
        <fgColor rgb="FF40916C"/>
        <bgColor rgb="FF2D6A4F"/>
      </patternFill>
    </fill>
    <fill>
      <patternFill patternType="solid">
        <fgColor rgb="FFFFF8F0"/>
        <bgColor rgb="FFFFFFFF"/>
      </patternFill>
    </fill>
    <fill>
      <patternFill patternType="solid">
        <fgColor rgb="FFFFF3CD"/>
        <bgColor rgb="FFFFF8F0"/>
      </patternFill>
    </fill>
    <fill>
      <patternFill patternType="solid">
        <fgColor rgb="FFFFE0E0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E8DF"/>
      </left>
      <right style="thin">
        <color rgb="FFD8E8DF"/>
      </right>
      <top style="thin">
        <color rgb="FFD8E8DF"/>
      </top>
      <bottom style="thin">
        <color rgb="FFD8E8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FFF3CD"/>
      <rgbColor rgb="FFE8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8F0"/>
      <rgbColor rgb="FFD8E8DF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B00"/>
      <rgbColor rgb="FF666666"/>
      <rgbColor rgb="FF999999"/>
      <rgbColor rgb="FF003366"/>
      <rgbColor rgb="FF40916C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4.9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5" t="s">
        <v>3</v>
      </c>
      <c r="C5" s="5" t="s">
        <v>4</v>
      </c>
      <c r="D5" s="4" t="s">
        <v>5</v>
      </c>
      <c r="E5" s="4" t="s">
        <v>6</v>
      </c>
      <c r="F5" s="5" t="s">
        <v>7</v>
      </c>
    </row>
    <row r="6" customFormat="false" ht="15" hidden="false" customHeight="false" outlineLevel="0" collapsed="false">
      <c r="A6" s="6" t="s">
        <v>8</v>
      </c>
      <c r="B6" s="7" t="s">
        <v>9</v>
      </c>
      <c r="C6" s="6" t="s">
        <v>10</v>
      </c>
      <c r="D6" s="8" t="s">
        <v>11</v>
      </c>
      <c r="E6" s="6" t="s">
        <v>12</v>
      </c>
      <c r="F6" s="9" t="s">
        <v>13</v>
      </c>
    </row>
    <row r="7" customFormat="false" ht="15" hidden="false" customHeight="false" outlineLevel="0" collapsed="false">
      <c r="A7" s="6" t="s">
        <v>14</v>
      </c>
      <c r="B7" s="7" t="s">
        <v>15</v>
      </c>
      <c r="C7" s="6" t="s">
        <v>10</v>
      </c>
      <c r="D7" s="8" t="s">
        <v>11</v>
      </c>
      <c r="E7" s="6" t="s">
        <v>12</v>
      </c>
      <c r="F7" s="9" t="s">
        <v>16</v>
      </c>
    </row>
    <row r="8" customFormat="false" ht="15" hidden="false" customHeight="false" outlineLevel="0" collapsed="false">
      <c r="A8" s="6" t="s">
        <v>17</v>
      </c>
      <c r="B8" s="6" t="s">
        <v>18</v>
      </c>
      <c r="C8" s="6" t="s">
        <v>10</v>
      </c>
      <c r="D8" s="8" t="s">
        <v>11</v>
      </c>
      <c r="E8" s="6" t="s">
        <v>12</v>
      </c>
      <c r="F8" s="10" t="s">
        <v>19</v>
      </c>
    </row>
    <row r="9" customFormat="false" ht="15" hidden="false" customHeight="false" outlineLevel="0" collapsed="false">
      <c r="A9" s="6" t="s">
        <v>20</v>
      </c>
      <c r="B9" s="7" t="s">
        <v>21</v>
      </c>
      <c r="C9" s="6" t="s">
        <v>10</v>
      </c>
      <c r="D9" s="8" t="s">
        <v>11</v>
      </c>
      <c r="E9" s="6" t="s">
        <v>12</v>
      </c>
      <c r="F9" s="10" t="s">
        <v>22</v>
      </c>
    </row>
    <row r="10" customFormat="false" ht="15" hidden="false" customHeight="false" outlineLevel="0" collapsed="false">
      <c r="A10" s="6" t="s">
        <v>23</v>
      </c>
      <c r="B10" s="7" t="s">
        <v>24</v>
      </c>
      <c r="C10" s="6" t="s">
        <v>10</v>
      </c>
      <c r="D10" s="8" t="s">
        <v>11</v>
      </c>
      <c r="E10" s="6" t="s">
        <v>12</v>
      </c>
      <c r="F10" s="10" t="s">
        <v>25</v>
      </c>
    </row>
    <row r="11" customFormat="false" ht="15" hidden="false" customHeight="false" outlineLevel="0" collapsed="false">
      <c r="A11" s="6" t="s">
        <v>26</v>
      </c>
      <c r="B11" s="7" t="s">
        <v>27</v>
      </c>
      <c r="C11" s="6" t="s">
        <v>10</v>
      </c>
      <c r="D11" s="11" t="s">
        <v>28</v>
      </c>
      <c r="E11" s="6" t="s">
        <v>29</v>
      </c>
      <c r="F11" s="9" t="s">
        <v>30</v>
      </c>
    </row>
    <row r="12" customFormat="false" ht="15" hidden="false" customHeight="false" outlineLevel="0" collapsed="false">
      <c r="A12" s="6" t="s">
        <v>31</v>
      </c>
      <c r="B12" s="7" t="s">
        <v>32</v>
      </c>
      <c r="C12" s="6" t="s">
        <v>10</v>
      </c>
      <c r="D12" s="11" t="s">
        <v>28</v>
      </c>
      <c r="E12" s="6" t="s">
        <v>29</v>
      </c>
      <c r="F12" s="9" t="s">
        <v>33</v>
      </c>
    </row>
    <row r="13" customFormat="false" ht="15" hidden="false" customHeight="false" outlineLevel="0" collapsed="false">
      <c r="A13" s="6" t="s">
        <v>34</v>
      </c>
      <c r="B13" s="7" t="s">
        <v>35</v>
      </c>
      <c r="C13" s="6" t="s">
        <v>10</v>
      </c>
      <c r="D13" s="11" t="s">
        <v>28</v>
      </c>
      <c r="E13" s="6" t="s">
        <v>29</v>
      </c>
      <c r="F13" s="9" t="s">
        <v>36</v>
      </c>
    </row>
    <row r="14" customFormat="false" ht="15" hidden="false" customHeight="false" outlineLevel="0" collapsed="false">
      <c r="A14" s="6" t="s">
        <v>37</v>
      </c>
      <c r="B14" s="7" t="s">
        <v>38</v>
      </c>
      <c r="C14" s="6" t="s">
        <v>10</v>
      </c>
      <c r="D14" s="11" t="s">
        <v>28</v>
      </c>
      <c r="E14" s="6" t="s">
        <v>29</v>
      </c>
      <c r="F14" s="10" t="s">
        <v>39</v>
      </c>
    </row>
    <row r="15" customFormat="false" ht="15" hidden="false" customHeight="false" outlineLevel="0" collapsed="false">
      <c r="A15" s="6" t="s">
        <v>40</v>
      </c>
      <c r="B15" s="7" t="s">
        <v>41</v>
      </c>
      <c r="C15" s="6" t="s">
        <v>10</v>
      </c>
      <c r="D15" s="11" t="s">
        <v>28</v>
      </c>
      <c r="E15" s="6" t="s">
        <v>29</v>
      </c>
      <c r="F15" s="9" t="s">
        <v>42</v>
      </c>
    </row>
    <row r="17" customFormat="false" ht="14.9" hidden="false" customHeight="false" outlineLevel="0" collapsed="false">
      <c r="A17" s="12" t="s">
        <v>43</v>
      </c>
      <c r="B17" s="12"/>
      <c r="C17" s="12"/>
      <c r="D17" s="12"/>
      <c r="E17" s="12"/>
      <c r="F17" s="12"/>
    </row>
    <row r="19" customFormat="false" ht="14.9" hidden="false" customHeight="false" outlineLevel="0" collapsed="false">
      <c r="A19" s="3" t="s">
        <v>44</v>
      </c>
      <c r="B19" s="3"/>
      <c r="C19" s="3"/>
      <c r="D19" s="3"/>
      <c r="E19" s="3"/>
      <c r="F19" s="3"/>
    </row>
    <row r="20" customFormat="false" ht="15" hidden="false" customHeight="false" outlineLevel="0" collapsed="false">
      <c r="A20" s="13" t="s">
        <v>45</v>
      </c>
      <c r="B20" s="13"/>
      <c r="C20" s="13"/>
      <c r="D20" s="14" t="n">
        <f aca="false">'상세 견적'!F25</f>
        <v>2943</v>
      </c>
      <c r="E20" s="15" t="s">
        <v>46</v>
      </c>
      <c r="F20" s="16" t="s">
        <v>47</v>
      </c>
    </row>
    <row r="21" customFormat="false" ht="15" hidden="false" customHeight="false" outlineLevel="0" collapsed="false">
      <c r="A21" s="13" t="s">
        <v>48</v>
      </c>
      <c r="B21" s="13"/>
      <c r="C21" s="13"/>
      <c r="D21" s="14" t="n">
        <f aca="false">'상세 견적'!F31</f>
        <v>165</v>
      </c>
      <c r="E21" s="15" t="s">
        <v>46</v>
      </c>
      <c r="F21" s="17" t="s">
        <v>49</v>
      </c>
    </row>
    <row r="22" customFormat="false" ht="15" hidden="false" customHeight="false" outlineLevel="0" collapsed="false">
      <c r="A22" s="13" t="s">
        <v>50</v>
      </c>
      <c r="B22" s="13"/>
      <c r="C22" s="13"/>
      <c r="D22" s="14" t="n">
        <f aca="false">D20+D21</f>
        <v>3108</v>
      </c>
      <c r="E22" s="15" t="s">
        <v>46</v>
      </c>
      <c r="F22" s="16"/>
    </row>
    <row r="23" customFormat="false" ht="15" hidden="false" customHeight="false" outlineLevel="0" collapsed="false">
      <c r="A23" s="18" t="s">
        <v>51</v>
      </c>
      <c r="B23" s="18"/>
      <c r="C23" s="18"/>
      <c r="D23" s="14" t="n">
        <f aca="false">D22*0.1</f>
        <v>310.8</v>
      </c>
      <c r="E23" s="15" t="s">
        <v>46</v>
      </c>
      <c r="F23" s="16"/>
    </row>
    <row r="24" customFormat="false" ht="16.4" hidden="false" customHeight="false" outlineLevel="0" collapsed="false">
      <c r="A24" s="19" t="s">
        <v>52</v>
      </c>
      <c r="B24" s="19"/>
      <c r="C24" s="19"/>
      <c r="D24" s="20" t="n">
        <f aca="false">D22+D23</f>
        <v>3418.8</v>
      </c>
      <c r="E24" s="21" t="s">
        <v>46</v>
      </c>
      <c r="F24" s="22"/>
    </row>
    <row r="26" customFormat="false" ht="15" hidden="false" customHeight="false" outlineLevel="0" collapsed="false">
      <c r="A26" s="23" t="s">
        <v>53</v>
      </c>
      <c r="B26" s="23"/>
      <c r="C26" s="23"/>
      <c r="D26" s="23"/>
      <c r="E26" s="23"/>
      <c r="F26" s="23"/>
    </row>
    <row r="27" customFormat="false" ht="15" hidden="false" customHeight="false" outlineLevel="0" collapsed="false">
      <c r="A27" s="13" t="s">
        <v>54</v>
      </c>
      <c r="B27" s="13"/>
      <c r="C27" s="13"/>
      <c r="D27" s="24" t="n">
        <v>26112</v>
      </c>
      <c r="E27" s="25"/>
      <c r="F27" s="17" t="s">
        <v>55</v>
      </c>
    </row>
    <row r="28" customFormat="false" ht="15" hidden="false" customHeight="false" outlineLevel="0" collapsed="false">
      <c r="A28" s="13" t="s">
        <v>56</v>
      </c>
      <c r="B28" s="13"/>
      <c r="C28" s="13"/>
      <c r="D28" s="24" t="n">
        <v>22074</v>
      </c>
      <c r="E28" s="25"/>
      <c r="F28" s="16" t="s">
        <v>57</v>
      </c>
    </row>
    <row r="29" customFormat="false" ht="15" hidden="false" customHeight="false" outlineLevel="0" collapsed="false">
      <c r="A29" s="18" t="s">
        <v>58</v>
      </c>
      <c r="B29" s="18"/>
      <c r="C29" s="18"/>
      <c r="D29" s="26" t="n">
        <f aca="false">D22</f>
        <v>3108</v>
      </c>
      <c r="E29" s="25"/>
      <c r="F29" s="16" t="s">
        <v>59</v>
      </c>
    </row>
    <row r="30" customFormat="false" ht="15" hidden="false" customHeight="false" outlineLevel="0" collapsed="false">
      <c r="A30" s="13" t="s">
        <v>60</v>
      </c>
      <c r="B30" s="13"/>
      <c r="C30" s="13"/>
      <c r="D30" s="27" t="n">
        <f aca="false">D27-D29</f>
        <v>23004</v>
      </c>
      <c r="E30" s="25"/>
      <c r="F30" s="16"/>
    </row>
    <row r="31" customFormat="false" ht="15" hidden="false" customHeight="false" outlineLevel="0" collapsed="false">
      <c r="A31" s="13" t="s">
        <v>61</v>
      </c>
      <c r="B31" s="13"/>
      <c r="C31" s="13"/>
      <c r="D31" s="28" t="n">
        <f aca="false">IF(D27=0,"-",D30/D27)</f>
        <v>0.880974264705882</v>
      </c>
      <c r="E31" s="25"/>
      <c r="F31" s="16"/>
    </row>
    <row r="33" customFormat="false" ht="15" hidden="false" customHeight="false" outlineLevel="0" collapsed="false">
      <c r="A33" s="29" t="s">
        <v>62</v>
      </c>
      <c r="B33" s="29"/>
      <c r="C33" s="29"/>
      <c r="D33" s="29"/>
      <c r="E33" s="29"/>
      <c r="F33" s="29"/>
    </row>
    <row r="34" customFormat="false" ht="15" hidden="false" customHeight="false" outlineLevel="0" collapsed="false">
      <c r="A34" s="18" t="s">
        <v>63</v>
      </c>
      <c r="B34" s="18"/>
      <c r="C34" s="18"/>
      <c r="D34" s="24" t="n">
        <v>30</v>
      </c>
      <c r="E34" s="15" t="s">
        <v>46</v>
      </c>
      <c r="F34" s="17" t="s">
        <v>64</v>
      </c>
    </row>
    <row r="35" customFormat="false" ht="15" hidden="false" customHeight="false" outlineLevel="0" collapsed="false">
      <c r="A35" s="13" t="s">
        <v>65</v>
      </c>
      <c r="B35" s="13"/>
      <c r="C35" s="13"/>
      <c r="D35" s="24" t="n">
        <v>15</v>
      </c>
      <c r="E35" s="15" t="s">
        <v>46</v>
      </c>
      <c r="F35" s="16" t="s">
        <v>66</v>
      </c>
    </row>
    <row r="36" customFormat="false" ht="15" hidden="false" customHeight="false" outlineLevel="0" collapsed="false">
      <c r="A36" s="13" t="s">
        <v>67</v>
      </c>
      <c r="B36" s="13"/>
      <c r="C36" s="13"/>
      <c r="D36" s="24" t="n">
        <v>10</v>
      </c>
      <c r="E36" s="15" t="s">
        <v>46</v>
      </c>
      <c r="F36" s="17" t="s">
        <v>68</v>
      </c>
    </row>
    <row r="37" customFormat="false" ht="15" hidden="false" customHeight="false" outlineLevel="0" collapsed="false">
      <c r="A37" s="13" t="s">
        <v>69</v>
      </c>
      <c r="B37" s="13"/>
      <c r="C37" s="13"/>
      <c r="D37" s="24" t="n">
        <v>50</v>
      </c>
      <c r="E37" s="15" t="s">
        <v>46</v>
      </c>
      <c r="F37" s="16" t="s">
        <v>70</v>
      </c>
    </row>
    <row r="38" customFormat="false" ht="15" hidden="false" customHeight="false" outlineLevel="0" collapsed="false">
      <c r="A38" s="30" t="s">
        <v>71</v>
      </c>
      <c r="B38" s="30"/>
      <c r="C38" s="30"/>
      <c r="D38" s="31" t="n">
        <f aca="false">SUM(D34:D37)</f>
        <v>105</v>
      </c>
      <c r="E38" s="32" t="s">
        <v>46</v>
      </c>
      <c r="F38" s="33"/>
    </row>
    <row r="39" customFormat="false" ht="15" hidden="false" customHeight="false" outlineLevel="0" collapsed="false">
      <c r="A39" s="30" t="s">
        <v>72</v>
      </c>
      <c r="B39" s="30"/>
      <c r="C39" s="30"/>
      <c r="D39" s="31" t="n">
        <f aca="false">D38*12</f>
        <v>1260</v>
      </c>
      <c r="E39" s="32" t="s">
        <v>46</v>
      </c>
      <c r="F39" s="33"/>
    </row>
    <row r="41" customFormat="false" ht="14.9" hidden="false" customHeight="false" outlineLevel="0" collapsed="false">
      <c r="A41" s="3" t="s">
        <v>73</v>
      </c>
      <c r="B41" s="3"/>
      <c r="C41" s="3"/>
      <c r="D41" s="3"/>
      <c r="E41" s="3"/>
      <c r="F41" s="3"/>
    </row>
    <row r="42" customFormat="false" ht="15" hidden="false" customHeight="false" outlineLevel="0" collapsed="false">
      <c r="A42" s="34"/>
      <c r="B42" s="4" t="s">
        <v>74</v>
      </c>
      <c r="C42" s="5" t="s">
        <v>75</v>
      </c>
      <c r="D42" s="5"/>
      <c r="E42" s="5" t="s">
        <v>76</v>
      </c>
      <c r="F42" s="5"/>
    </row>
    <row r="43" customFormat="false" ht="15" hidden="false" customHeight="false" outlineLevel="0" collapsed="false">
      <c r="A43" s="25"/>
      <c r="B43" s="6" t="s">
        <v>77</v>
      </c>
      <c r="C43" s="7" t="s">
        <v>78</v>
      </c>
      <c r="D43" s="7"/>
      <c r="E43" s="6" t="s">
        <v>79</v>
      </c>
      <c r="F43" s="6"/>
    </row>
    <row r="44" customFormat="false" ht="15" hidden="false" customHeight="false" outlineLevel="0" collapsed="false">
      <c r="A44" s="25"/>
      <c r="B44" s="6" t="s">
        <v>80</v>
      </c>
      <c r="C44" s="6" t="s">
        <v>81</v>
      </c>
      <c r="D44" s="6"/>
      <c r="E44" s="6" t="s">
        <v>82</v>
      </c>
      <c r="F44" s="6"/>
    </row>
    <row r="45" customFormat="false" ht="15" hidden="false" customHeight="false" outlineLevel="0" collapsed="false">
      <c r="A45" s="25"/>
      <c r="B45" s="6" t="s">
        <v>83</v>
      </c>
      <c r="C45" s="7" t="s">
        <v>84</v>
      </c>
      <c r="D45" s="7"/>
      <c r="E45" s="7" t="s">
        <v>85</v>
      </c>
      <c r="F45" s="7"/>
    </row>
    <row r="46" customFormat="false" ht="15" hidden="false" customHeight="false" outlineLevel="0" collapsed="false">
      <c r="A46" s="25"/>
      <c r="B46" s="6" t="s">
        <v>86</v>
      </c>
      <c r="C46" s="7" t="s">
        <v>87</v>
      </c>
      <c r="D46" s="7"/>
      <c r="E46" s="6" t="s">
        <v>88</v>
      </c>
      <c r="F46" s="6"/>
    </row>
    <row r="47" customFormat="false" ht="15" hidden="false" customHeight="false" outlineLevel="0" collapsed="false">
      <c r="A47" s="25"/>
      <c r="B47" s="6" t="s">
        <v>89</v>
      </c>
      <c r="C47" s="7" t="s">
        <v>90</v>
      </c>
      <c r="D47" s="7"/>
      <c r="E47" s="6" t="s">
        <v>91</v>
      </c>
      <c r="F47" s="6"/>
    </row>
    <row r="48" customFormat="false" ht="15" hidden="false" customHeight="false" outlineLevel="0" collapsed="false">
      <c r="A48" s="25"/>
      <c r="B48" s="6" t="s">
        <v>92</v>
      </c>
      <c r="C48" s="7" t="s">
        <v>93</v>
      </c>
      <c r="D48" s="7"/>
      <c r="E48" s="7" t="s">
        <v>94</v>
      </c>
      <c r="F48" s="7"/>
    </row>
    <row r="50" customFormat="false" ht="15" hidden="false" customHeight="false" outlineLevel="0" collapsed="false">
      <c r="A50" s="35" t="s">
        <v>95</v>
      </c>
      <c r="B50" s="35"/>
      <c r="C50" s="35"/>
      <c r="D50" s="35"/>
      <c r="E50" s="35"/>
      <c r="F50" s="35"/>
    </row>
    <row r="51" customFormat="false" ht="11.9" hidden="false" customHeight="false" outlineLevel="0" collapsed="false">
      <c r="A51" s="36" t="s">
        <v>96</v>
      </c>
      <c r="B51" s="36"/>
      <c r="C51" s="36"/>
      <c r="D51" s="36"/>
      <c r="E51" s="36"/>
      <c r="F51" s="36"/>
    </row>
    <row r="52" customFormat="false" ht="11.9" hidden="false" customHeight="false" outlineLevel="0" collapsed="false">
      <c r="A52" s="37" t="s">
        <v>97</v>
      </c>
      <c r="B52" s="37"/>
      <c r="C52" s="37"/>
      <c r="D52" s="37"/>
      <c r="E52" s="37"/>
      <c r="F52" s="37"/>
    </row>
    <row r="53" customFormat="false" ht="11.9" hidden="false" customHeight="false" outlineLevel="0" collapsed="false">
      <c r="A53" s="36" t="s">
        <v>98</v>
      </c>
      <c r="B53" s="36"/>
      <c r="C53" s="36"/>
      <c r="D53" s="36"/>
      <c r="E53" s="36"/>
      <c r="F53" s="36"/>
    </row>
    <row r="54" customFormat="false" ht="11.9" hidden="false" customHeight="false" outlineLevel="0" collapsed="false">
      <c r="A54" s="36" t="s">
        <v>99</v>
      </c>
      <c r="B54" s="36"/>
      <c r="C54" s="36"/>
      <c r="D54" s="36"/>
      <c r="E54" s="36"/>
      <c r="F54" s="36"/>
    </row>
    <row r="55" customFormat="false" ht="11.9" hidden="false" customHeight="false" outlineLevel="0" collapsed="false">
      <c r="A55" s="37" t="s">
        <v>100</v>
      </c>
      <c r="B55" s="37"/>
      <c r="C55" s="37"/>
      <c r="D55" s="37"/>
      <c r="E55" s="37"/>
      <c r="F55" s="37"/>
    </row>
  </sheetData>
  <mergeCells count="44">
    <mergeCell ref="A1:F1"/>
    <mergeCell ref="A2:F2"/>
    <mergeCell ref="A4:F4"/>
    <mergeCell ref="A17:F17"/>
    <mergeCell ref="A19:F19"/>
    <mergeCell ref="A20:C20"/>
    <mergeCell ref="A21:C21"/>
    <mergeCell ref="A22:C22"/>
    <mergeCell ref="A23:C23"/>
    <mergeCell ref="A24:C24"/>
    <mergeCell ref="A26:F26"/>
    <mergeCell ref="A27:C27"/>
    <mergeCell ref="A28:C28"/>
    <mergeCell ref="A29:C29"/>
    <mergeCell ref="A30:C30"/>
    <mergeCell ref="A31:C31"/>
    <mergeCell ref="A33:F33"/>
    <mergeCell ref="A34:C34"/>
    <mergeCell ref="A35:C35"/>
    <mergeCell ref="A36:C36"/>
    <mergeCell ref="A37:C37"/>
    <mergeCell ref="A38:C38"/>
    <mergeCell ref="A39:C39"/>
    <mergeCell ref="A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A50:F50"/>
    <mergeCell ref="A51:F51"/>
    <mergeCell ref="A52:F52"/>
    <mergeCell ref="A53:F53"/>
    <mergeCell ref="A54:F54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2"/>
  </cols>
  <sheetData>
    <row r="1" customFormat="false" ht="39.75" hidden="false" customHeight="true" outlineLevel="0" collapsed="false">
      <c r="A1" s="38" t="s">
        <v>101</v>
      </c>
      <c r="B1" s="38"/>
      <c r="C1" s="38"/>
      <c r="D1" s="38"/>
      <c r="E1" s="38"/>
      <c r="F1" s="38"/>
      <c r="G1" s="38"/>
    </row>
    <row r="3" customFormat="false" ht="14.9" hidden="false" customHeight="false" outlineLevel="0" collapsed="false">
      <c r="A3" s="29" t="s">
        <v>102</v>
      </c>
      <c r="B3" s="29"/>
      <c r="C3" s="29"/>
      <c r="D3" s="29"/>
      <c r="E3" s="29"/>
      <c r="F3" s="29"/>
      <c r="G3" s="29"/>
    </row>
    <row r="4" customFormat="false" ht="15" hidden="false" customHeight="false" outlineLevel="0" collapsed="false">
      <c r="A4" s="4"/>
      <c r="B4" s="5" t="s">
        <v>103</v>
      </c>
      <c r="C4" s="5" t="s">
        <v>104</v>
      </c>
      <c r="D4" s="5" t="s">
        <v>105</v>
      </c>
      <c r="E4" s="5" t="s">
        <v>106</v>
      </c>
      <c r="F4" s="4"/>
      <c r="G4" s="5" t="s">
        <v>107</v>
      </c>
    </row>
    <row r="5" customFormat="false" ht="15" hidden="false" customHeight="false" outlineLevel="0" collapsed="false">
      <c r="A5" s="6" t="s">
        <v>8</v>
      </c>
      <c r="B5" s="7" t="s">
        <v>108</v>
      </c>
      <c r="C5" s="39" t="n">
        <v>540</v>
      </c>
      <c r="D5" s="6" t="n">
        <f aca="false">ROUND(C5/21.5,1)</f>
        <v>25.1</v>
      </c>
      <c r="E5" s="6" t="s">
        <v>109</v>
      </c>
      <c r="F5" s="6"/>
      <c r="G5" s="6" t="s">
        <v>110</v>
      </c>
    </row>
    <row r="6" customFormat="false" ht="15" hidden="false" customHeight="false" outlineLevel="0" collapsed="false">
      <c r="A6" s="6" t="s">
        <v>14</v>
      </c>
      <c r="B6" s="7" t="s">
        <v>111</v>
      </c>
      <c r="C6" s="39" t="n">
        <v>430</v>
      </c>
      <c r="D6" s="6" t="n">
        <f aca="false">ROUND(C6/21.5,1)</f>
        <v>20</v>
      </c>
      <c r="E6" s="6" t="s">
        <v>109</v>
      </c>
      <c r="F6" s="6"/>
      <c r="G6" s="7" t="s">
        <v>112</v>
      </c>
    </row>
    <row r="8" customFormat="false" ht="15" hidden="false" customHeight="false" outlineLevel="0" collapsed="false">
      <c r="A8" s="29" t="s">
        <v>113</v>
      </c>
      <c r="B8" s="29"/>
      <c r="C8" s="29"/>
      <c r="D8" s="29"/>
      <c r="E8" s="29"/>
      <c r="F8" s="29"/>
      <c r="G8" s="29"/>
    </row>
    <row r="9" customFormat="false" ht="15" hidden="false" customHeight="false" outlineLevel="0" collapsed="false">
      <c r="A9" s="4" t="s">
        <v>114</v>
      </c>
      <c r="B9" s="5" t="s">
        <v>115</v>
      </c>
      <c r="C9" s="5" t="s">
        <v>116</v>
      </c>
      <c r="D9" s="5" t="s">
        <v>103</v>
      </c>
      <c r="E9" s="5" t="s">
        <v>117</v>
      </c>
      <c r="F9" s="5" t="s">
        <v>118</v>
      </c>
      <c r="G9" s="5" t="s">
        <v>7</v>
      </c>
    </row>
    <row r="10" customFormat="false" ht="23.85" hidden="false" customHeight="false" outlineLevel="0" collapsed="false">
      <c r="A10" s="6" t="n">
        <v>1</v>
      </c>
      <c r="B10" s="40" t="s">
        <v>119</v>
      </c>
      <c r="C10" s="9" t="s">
        <v>120</v>
      </c>
      <c r="D10" s="7" t="s">
        <v>121</v>
      </c>
      <c r="E10" s="39" t="n">
        <v>0.3</v>
      </c>
      <c r="F10" s="41" t="n">
        <f aca="false">E10*430</f>
        <v>129</v>
      </c>
      <c r="G10" s="42" t="s">
        <v>122</v>
      </c>
    </row>
    <row r="11" customFormat="false" ht="15" hidden="false" customHeight="false" outlineLevel="0" collapsed="false">
      <c r="A11" s="6" t="n">
        <v>2</v>
      </c>
      <c r="B11" s="10"/>
      <c r="C11" s="10" t="s">
        <v>123</v>
      </c>
      <c r="D11" s="7" t="s">
        <v>124</v>
      </c>
      <c r="E11" s="39" t="n">
        <v>1.2</v>
      </c>
      <c r="F11" s="41" t="n">
        <f aca="false">E11*540</f>
        <v>648</v>
      </c>
      <c r="G11" s="43" t="s">
        <v>125</v>
      </c>
    </row>
    <row r="12" customFormat="false" ht="15" hidden="false" customHeight="false" outlineLevel="0" collapsed="false">
      <c r="A12" s="6" t="n">
        <v>3</v>
      </c>
      <c r="B12" s="10"/>
      <c r="C12" s="9" t="s">
        <v>126</v>
      </c>
      <c r="D12" s="7" t="s">
        <v>121</v>
      </c>
      <c r="E12" s="39" t="n">
        <v>0.3</v>
      </c>
      <c r="F12" s="41" t="n">
        <f aca="false">E12*430</f>
        <v>129</v>
      </c>
      <c r="G12" s="42" t="s">
        <v>127</v>
      </c>
    </row>
    <row r="13" customFormat="false" ht="15" hidden="false" customHeight="false" outlineLevel="0" collapsed="false">
      <c r="A13" s="6" t="n">
        <v>4</v>
      </c>
      <c r="B13" s="10"/>
      <c r="C13" s="9" t="s">
        <v>128</v>
      </c>
      <c r="D13" s="7" t="s">
        <v>121</v>
      </c>
      <c r="E13" s="39" t="n">
        <v>0.2</v>
      </c>
      <c r="F13" s="41" t="n">
        <f aca="false">E13*430</f>
        <v>86</v>
      </c>
      <c r="G13" s="42" t="s">
        <v>129</v>
      </c>
    </row>
    <row r="14" customFormat="false" ht="23.85" hidden="false" customHeight="false" outlineLevel="0" collapsed="false">
      <c r="A14" s="6" t="n">
        <v>5</v>
      </c>
      <c r="B14" s="40" t="s">
        <v>130</v>
      </c>
      <c r="C14" s="9" t="s">
        <v>131</v>
      </c>
      <c r="D14" s="7" t="s">
        <v>121</v>
      </c>
      <c r="E14" s="39" t="n">
        <v>0.5</v>
      </c>
      <c r="F14" s="41" t="n">
        <f aca="false">E14*430</f>
        <v>215</v>
      </c>
      <c r="G14" s="42" t="s">
        <v>132</v>
      </c>
    </row>
    <row r="15" customFormat="false" ht="15" hidden="false" customHeight="false" outlineLevel="0" collapsed="false">
      <c r="A15" s="6" t="n">
        <v>6</v>
      </c>
      <c r="B15" s="10"/>
      <c r="C15" s="9" t="s">
        <v>133</v>
      </c>
      <c r="D15" s="7" t="s">
        <v>121</v>
      </c>
      <c r="E15" s="39" t="n">
        <v>0.2</v>
      </c>
      <c r="F15" s="41" t="n">
        <f aca="false">E15*430</f>
        <v>86</v>
      </c>
      <c r="G15" s="42" t="s">
        <v>134</v>
      </c>
    </row>
    <row r="16" customFormat="false" ht="23.85" hidden="false" customHeight="false" outlineLevel="0" collapsed="false">
      <c r="A16" s="6" t="n">
        <v>7</v>
      </c>
      <c r="B16" s="44" t="s">
        <v>135</v>
      </c>
      <c r="C16" s="9" t="s">
        <v>136</v>
      </c>
      <c r="D16" s="7" t="s">
        <v>124</v>
      </c>
      <c r="E16" s="39" t="n">
        <v>0.8</v>
      </c>
      <c r="F16" s="41" t="n">
        <f aca="false">E16*540</f>
        <v>432</v>
      </c>
      <c r="G16" s="43" t="s">
        <v>137</v>
      </c>
    </row>
    <row r="17" customFormat="false" ht="15" hidden="false" customHeight="false" outlineLevel="0" collapsed="false">
      <c r="A17" s="6" t="n">
        <v>8</v>
      </c>
      <c r="B17" s="10"/>
      <c r="C17" s="10" t="s">
        <v>138</v>
      </c>
      <c r="D17" s="7" t="s">
        <v>124</v>
      </c>
      <c r="E17" s="39" t="n">
        <v>0.7</v>
      </c>
      <c r="F17" s="41" t="n">
        <f aca="false">E17*540</f>
        <v>378</v>
      </c>
      <c r="G17" s="42" t="s">
        <v>139</v>
      </c>
    </row>
    <row r="18" customFormat="false" ht="23.85" hidden="false" customHeight="false" outlineLevel="0" collapsed="false">
      <c r="A18" s="6" t="n">
        <v>9</v>
      </c>
      <c r="B18" s="40" t="s">
        <v>140</v>
      </c>
      <c r="C18" s="10" t="s">
        <v>141</v>
      </c>
      <c r="D18" s="7" t="s">
        <v>121</v>
      </c>
      <c r="E18" s="39" t="n">
        <v>0.3</v>
      </c>
      <c r="F18" s="41" t="n">
        <f aca="false">E18*430</f>
        <v>129</v>
      </c>
      <c r="G18" s="42" t="s">
        <v>142</v>
      </c>
    </row>
    <row r="19" customFormat="false" ht="15" hidden="false" customHeight="false" outlineLevel="0" collapsed="false">
      <c r="A19" s="6" t="n">
        <v>10</v>
      </c>
      <c r="B19" s="10"/>
      <c r="C19" s="9" t="s">
        <v>143</v>
      </c>
      <c r="D19" s="7" t="s">
        <v>121</v>
      </c>
      <c r="E19" s="39" t="n">
        <v>0.2</v>
      </c>
      <c r="F19" s="41" t="n">
        <f aca="false">E19*430</f>
        <v>86</v>
      </c>
      <c r="G19" s="42" t="s">
        <v>144</v>
      </c>
    </row>
    <row r="20" customFormat="false" ht="15" hidden="false" customHeight="false" outlineLevel="0" collapsed="false">
      <c r="A20" s="6" t="n">
        <v>11</v>
      </c>
      <c r="B20" s="10"/>
      <c r="C20" s="9" t="s">
        <v>145</v>
      </c>
      <c r="D20" s="7" t="s">
        <v>121</v>
      </c>
      <c r="E20" s="39" t="n">
        <v>0.2</v>
      </c>
      <c r="F20" s="41" t="n">
        <f aca="false">E20*430</f>
        <v>86</v>
      </c>
      <c r="G20" s="42" t="s">
        <v>146</v>
      </c>
    </row>
    <row r="21" customFormat="false" ht="15" hidden="false" customHeight="false" outlineLevel="0" collapsed="false">
      <c r="A21" s="6" t="n">
        <v>12</v>
      </c>
      <c r="B21" s="40" t="s">
        <v>147</v>
      </c>
      <c r="C21" s="9" t="s">
        <v>148</v>
      </c>
      <c r="D21" s="7" t="s">
        <v>124</v>
      </c>
      <c r="E21" s="39" t="n">
        <v>0.3</v>
      </c>
      <c r="F21" s="41" t="n">
        <f aca="false">E21*540</f>
        <v>162</v>
      </c>
      <c r="G21" s="43" t="s">
        <v>149</v>
      </c>
    </row>
    <row r="22" customFormat="false" ht="15" hidden="false" customHeight="false" outlineLevel="0" collapsed="false">
      <c r="A22" s="6" t="n">
        <v>13</v>
      </c>
      <c r="B22" s="10"/>
      <c r="C22" s="9" t="s">
        <v>150</v>
      </c>
      <c r="D22" s="7" t="s">
        <v>121</v>
      </c>
      <c r="E22" s="39" t="n">
        <v>0.2</v>
      </c>
      <c r="F22" s="41" t="n">
        <f aca="false">E22*430</f>
        <v>86</v>
      </c>
      <c r="G22" s="42" t="s">
        <v>151</v>
      </c>
    </row>
    <row r="23" customFormat="false" ht="15" hidden="false" customHeight="false" outlineLevel="0" collapsed="false">
      <c r="A23" s="6" t="n">
        <v>14</v>
      </c>
      <c r="B23" s="10"/>
      <c r="C23" s="9" t="s">
        <v>152</v>
      </c>
      <c r="D23" s="7" t="s">
        <v>121</v>
      </c>
      <c r="E23" s="39" t="n">
        <v>0.3</v>
      </c>
      <c r="F23" s="41" t="n">
        <f aca="false">E23*430</f>
        <v>129</v>
      </c>
      <c r="G23" s="42" t="s">
        <v>90</v>
      </c>
    </row>
    <row r="24" customFormat="false" ht="15" hidden="false" customHeight="false" outlineLevel="0" collapsed="false">
      <c r="A24" s="6" t="n">
        <v>15</v>
      </c>
      <c r="B24" s="10"/>
      <c r="C24" s="10" t="s">
        <v>153</v>
      </c>
      <c r="D24" s="7" t="s">
        <v>124</v>
      </c>
      <c r="E24" s="39" t="n">
        <v>0.3</v>
      </c>
      <c r="F24" s="41" t="n">
        <f aca="false">E24*540</f>
        <v>162</v>
      </c>
      <c r="G24" s="42" t="s">
        <v>154</v>
      </c>
    </row>
    <row r="25" customFormat="false" ht="15" hidden="false" customHeight="false" outlineLevel="0" collapsed="false">
      <c r="A25" s="45" t="s">
        <v>155</v>
      </c>
      <c r="B25" s="45"/>
      <c r="C25" s="45"/>
      <c r="D25" s="45"/>
      <c r="E25" s="46" t="n">
        <f aca="false">SUM(E10:E24)</f>
        <v>6</v>
      </c>
      <c r="F25" s="31" t="n">
        <f aca="false">SUM(F10:F24)</f>
        <v>2943</v>
      </c>
      <c r="G25" s="47"/>
    </row>
    <row r="27" customFormat="false" ht="14.9" hidden="false" customHeight="false" outlineLevel="0" collapsed="false">
      <c r="A27" s="29" t="s">
        <v>156</v>
      </c>
      <c r="B27" s="29"/>
      <c r="C27" s="29"/>
      <c r="D27" s="29"/>
      <c r="E27" s="29"/>
      <c r="F27" s="29"/>
      <c r="G27" s="29"/>
    </row>
    <row r="28" customFormat="false" ht="22.35" hidden="false" customHeight="false" outlineLevel="0" collapsed="false">
      <c r="A28" s="6" t="s">
        <v>157</v>
      </c>
      <c r="B28" s="6"/>
      <c r="C28" s="6"/>
      <c r="D28" s="6"/>
      <c r="E28" s="25"/>
      <c r="F28" s="24" t="n">
        <v>90</v>
      </c>
      <c r="G28" s="43" t="s">
        <v>158</v>
      </c>
    </row>
    <row r="29" customFormat="false" ht="22.35" hidden="false" customHeight="false" outlineLevel="0" collapsed="false">
      <c r="A29" s="7" t="s">
        <v>159</v>
      </c>
      <c r="B29" s="7"/>
      <c r="C29" s="7"/>
      <c r="D29" s="7"/>
      <c r="E29" s="25"/>
      <c r="F29" s="24" t="n">
        <v>45</v>
      </c>
      <c r="G29" s="43" t="s">
        <v>160</v>
      </c>
    </row>
    <row r="30" customFormat="false" ht="15" hidden="false" customHeight="false" outlineLevel="0" collapsed="false">
      <c r="A30" s="7" t="s">
        <v>161</v>
      </c>
      <c r="B30" s="7"/>
      <c r="C30" s="7"/>
      <c r="D30" s="7"/>
      <c r="E30" s="25"/>
      <c r="F30" s="24" t="n">
        <v>30</v>
      </c>
      <c r="G30" s="43" t="s">
        <v>162</v>
      </c>
    </row>
    <row r="31" customFormat="false" ht="15" hidden="false" customHeight="false" outlineLevel="0" collapsed="false">
      <c r="A31" s="45" t="s">
        <v>163</v>
      </c>
      <c r="B31" s="45"/>
      <c r="C31" s="45"/>
      <c r="D31" s="45"/>
      <c r="E31" s="47"/>
      <c r="F31" s="31" t="n">
        <f aca="false">SUM(F28:F30)</f>
        <v>165</v>
      </c>
      <c r="G31" s="47"/>
    </row>
    <row r="33" customFormat="false" ht="15" hidden="false" customHeight="false" outlineLevel="0" collapsed="false">
      <c r="A33" s="29" t="s">
        <v>164</v>
      </c>
      <c r="B33" s="29"/>
      <c r="C33" s="29"/>
      <c r="D33" s="29"/>
      <c r="E33" s="29"/>
      <c r="F33" s="29"/>
      <c r="G33" s="29"/>
    </row>
    <row r="34" customFormat="false" ht="15" hidden="false" customHeight="false" outlineLevel="0" collapsed="false">
      <c r="A34" s="48" t="s">
        <v>165</v>
      </c>
      <c r="B34" s="48"/>
      <c r="C34" s="48"/>
      <c r="D34" s="48"/>
      <c r="E34" s="48"/>
      <c r="F34" s="14" t="n">
        <f aca="false">F25</f>
        <v>2943</v>
      </c>
      <c r="G34" s="25"/>
    </row>
    <row r="35" customFormat="false" ht="15" hidden="false" customHeight="false" outlineLevel="0" collapsed="false">
      <c r="A35" s="48" t="s">
        <v>166</v>
      </c>
      <c r="B35" s="48"/>
      <c r="C35" s="48"/>
      <c r="D35" s="48"/>
      <c r="E35" s="48"/>
      <c r="F35" s="14" t="n">
        <f aca="false">F31</f>
        <v>165</v>
      </c>
      <c r="G35" s="25"/>
    </row>
    <row r="36" customFormat="false" ht="15" hidden="false" customHeight="false" outlineLevel="0" collapsed="false">
      <c r="A36" s="49" t="s">
        <v>167</v>
      </c>
      <c r="B36" s="49"/>
      <c r="C36" s="49"/>
      <c r="D36" s="49"/>
      <c r="E36" s="49"/>
      <c r="F36" s="50" t="n">
        <f aca="false">F34+F35</f>
        <v>3108</v>
      </c>
      <c r="G36" s="51"/>
    </row>
    <row r="37" customFormat="false" ht="15" hidden="false" customHeight="false" outlineLevel="0" collapsed="false">
      <c r="A37" s="52" t="s">
        <v>51</v>
      </c>
      <c r="B37" s="52"/>
      <c r="C37" s="52"/>
      <c r="D37" s="52"/>
      <c r="E37" s="52"/>
      <c r="F37" s="14" t="n">
        <f aca="false">F36*0.1</f>
        <v>310.8</v>
      </c>
      <c r="G37" s="25"/>
    </row>
    <row r="38" customFormat="false" ht="17.9" hidden="false" customHeight="false" outlineLevel="0" collapsed="false">
      <c r="A38" s="53" t="s">
        <v>168</v>
      </c>
      <c r="B38" s="53"/>
      <c r="C38" s="53"/>
      <c r="D38" s="53"/>
      <c r="E38" s="53"/>
      <c r="F38" s="54" t="n">
        <f aca="false">F36+F37</f>
        <v>3418.8</v>
      </c>
      <c r="G38" s="55"/>
    </row>
    <row r="40" customFormat="false" ht="14.9" hidden="false" customHeight="false" outlineLevel="0" collapsed="false">
      <c r="A40" s="56" t="s">
        <v>169</v>
      </c>
      <c r="B40" s="56"/>
      <c r="C40" s="56"/>
      <c r="D40" s="56"/>
      <c r="E40" s="56"/>
      <c r="F40" s="56"/>
      <c r="G40" s="56"/>
    </row>
    <row r="41" customFormat="false" ht="15" hidden="false" customHeight="false" outlineLevel="0" collapsed="false">
      <c r="A41" s="18" t="s">
        <v>170</v>
      </c>
      <c r="B41" s="18"/>
      <c r="C41" s="18"/>
      <c r="D41" s="18"/>
      <c r="E41" s="18"/>
      <c r="F41" s="57" t="n">
        <f aca="false">F36</f>
        <v>3108</v>
      </c>
      <c r="G41" s="58" t="str">
        <f aca="false">IF(F41&lt;10000,"✅ 1천만원 미만 충족","❌ 초과")</f>
        <v>✅ 1천만원 미만 충족</v>
      </c>
    </row>
  </sheetData>
  <mergeCells count="17">
    <mergeCell ref="A1:G1"/>
    <mergeCell ref="A3:G3"/>
    <mergeCell ref="A8:G8"/>
    <mergeCell ref="A25:D25"/>
    <mergeCell ref="A27:G27"/>
    <mergeCell ref="A28:D28"/>
    <mergeCell ref="A29:D29"/>
    <mergeCell ref="A30:D30"/>
    <mergeCell ref="A31:D31"/>
    <mergeCell ref="A33:G33"/>
    <mergeCell ref="A34:E34"/>
    <mergeCell ref="A35:E35"/>
    <mergeCell ref="A36:E36"/>
    <mergeCell ref="A37:E37"/>
    <mergeCell ref="A38:E38"/>
    <mergeCell ref="A40:G40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2026-03-24T06:59:19Z</dcterms:created>
  <dc:creator>openpyxl</dc:creator>
  <dc:description/>
  <dc:language>en-US</dc:language>
  <cp:lastModifiedBy/>
  <dcterms:modified xsi:type="dcterms:W3CDTF">2026-03-24T06:59:19Z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